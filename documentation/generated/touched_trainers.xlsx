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er Cards" sheetId="1" r:id="rId1"/>
    <sheet name="Touched Trainers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5E50"/>
      </patternFill>
    </fill>
    <fill>
      <patternFill patternType="solid">
        <fgColor rgb="FFE9F4EE"/>
      </patternFill>
    </fill>
    <fill>
      <patternFill patternType="solid">
        <fgColor rgb="FFFBFDFB"/>
      </patternFill>
    </fill>
    <fill>
      <patternFill patternType="solid">
        <fgColor rgb="FFF2F2F2"/>
      </patternFill>
    </fill>
  </fills>
  <borders count="2">
    <border/>
    <border>
      <left style="thin">
        <color rgb="FFD4E0D8"/>
      </left>
      <right style="thin">
        <color rgb="FFD4E0D8"/>
      </right>
      <top style="thin">
        <color rgb="FFD4E0D8"/>
      </top>
      <bottom style="thin">
        <color rgb="FFD4E0D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2" fillId="2" borderId="1" xfId="0" applyFont="1" applyFill="1" applyBorder="1">
      <alignment horizontal="center" vertical="center" wrapText="1"/>
    </xf>
    <xf numFmtId="0" fontId="1" fillId="3" borderId="1" xfId="0" applyFont="1" applyFill="1" applyBorder="1">
      <alignment horizontal="left" vertical="center" wrapText="1"/>
    </xf>
    <xf numFmtId="0" fontId="0" fillId="4" borderId="1" xfId="0" applyFill="1" applyBorder="1">
      <alignment horizontal="center" vertical="center" wrapText="1"/>
    </xf>
    <xf numFmtId="0" fontId="3" fillId="5" borderId="1" xfId="0" applyFont="1" applyFill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workbookViewId="0"/>
  </sheetViews>
  <sheetFormatPr defaultRowHeight="18"/>
  <cols>
    <col min="1" max="1" width="26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34" customWidth="1"/>
  </cols>
  <sheetData>
    <row r="1" ht="28" customHeight="1">
      <c r="A1" t="inlineStr" s="2">
        <is>
          <t>Shadows of Time - Trainer Cards</t>
        </is>
      </c>
      <c r="B1" t="inlineStr" s="2">
        <is>
          <t/>
        </is>
      </c>
      <c r="C1" t="inlineStr" s="2">
        <is>
          <t/>
        </is>
      </c>
      <c r="D1" t="inlineStr" s="2">
        <is>
          <t/>
        </is>
      </c>
      <c r="E1" t="inlineStr" s="2">
        <is>
          <t/>
        </is>
      </c>
      <c r="F1" t="inlineStr" s="2">
        <is>
          <t/>
        </is>
      </c>
      <c r="G1" t="inlineStr" s="2">
        <is>
          <t/>
        </is>
      </c>
      <c r="H1" t="inlineStr" s="2">
        <is>
          <t/>
        </is>
      </c>
    </row>
    <row r="2" ht="24" customHeight="1">
      <c r="A2" t="inlineStr" s="3">
        <is>
          <t>Generated from touched trainer data. Each card has up to six party slots.</t>
        </is>
      </c>
      <c r="B2" t="inlineStr" s="3">
        <is>
          <t/>
        </is>
      </c>
      <c r="C2" t="inlineStr" s="3">
        <is>
          <t/>
        </is>
      </c>
      <c r="D2" t="inlineStr" s="3">
        <is>
          <t/>
        </is>
      </c>
      <c r="E2" t="inlineStr" s="3">
        <is>
          <t/>
        </is>
      </c>
      <c r="F2" t="inlineStr" s="3">
        <is>
          <t/>
        </is>
      </c>
      <c r="G2" t="inlineStr" s="3">
        <is>
          <t/>
        </is>
      </c>
      <c r="H2" t="inlineStr" s="3">
        <is>
          <t/>
        </is>
      </c>
    </row>
    <row r="3" ht="24" customHeight="1">
      <c r="A3" t="inlineStr" s="4">
        <is>
          <t>ID 4 | School Kid - Alex</t>
        </is>
      </c>
      <c r="B3" t="inlineStr" s="4">
        <is>
          <t>Pokemon 1</t>
        </is>
      </c>
      <c r="C3" t="inlineStr" s="4">
        <is>
          <t>Pokemon 2</t>
        </is>
      </c>
      <c r="D3" t="inlineStr" s="4">
        <is>
          <t>Pokemon 3</t>
        </is>
      </c>
      <c r="E3" t="inlineStr" s="4">
        <is>
          <t>Pokemon 4</t>
        </is>
      </c>
      <c r="F3" t="inlineStr" s="4">
        <is>
          <t>Pokemon 5</t>
        </is>
      </c>
      <c r="G3" t="inlineStr" s="4">
        <is>
          <t>Pokemon 6</t>
        </is>
      </c>
      <c r="H3" t="inlineStr" s="4">
        <is>
          <t>Route 2 | Double Battle</t>
        </is>
      </c>
    </row>
    <row r="4" ht="64" customHeight="1">
      <c r="A4" t="inlineStr" s="6">
        <is>
          <t/>
        </is>
      </c>
      <c r="B4" s="6">
        <f>IMAGE("https://img.pokemondb.net/sprites/home/normal/hoothoot.png")</f>
      </c>
      <c r="C4" s="6">
        <f>IMAGE("https://img.pokemondb.net/sprites/home/normal/poochyena.png")</f>
      </c>
      <c r="D4" t="inlineStr" s="6">
        <is>
          <t/>
        </is>
      </c>
      <c r="E4" t="inlineStr" s="6">
        <is>
          <t/>
        </is>
      </c>
      <c r="F4" t="inlineStr" s="6">
        <is>
          <t/>
        </is>
      </c>
      <c r="G4" t="inlineStr" s="6">
        <is>
          <t/>
        </is>
      </c>
      <c r="H4" t="inlineStr" s="6">
        <is>
          <t/>
        </is>
      </c>
    </row>
    <row r="5">
      <c r="A5" t="inlineStr" s="5">
        <is>
          <t>Pokemon</t>
        </is>
      </c>
      <c r="B5" t="inlineStr" s="6">
        <is>
          <t>Hoothoot</t>
        </is>
      </c>
      <c r="C5" t="inlineStr" s="6">
        <is>
          <t>Poochyena (Ace)</t>
        </is>
      </c>
      <c r="D5" t="inlineStr" s="6">
        <is>
          <t/>
        </is>
      </c>
      <c r="E5" t="inlineStr" s="6">
        <is>
          <t/>
        </is>
      </c>
      <c r="F5" t="inlineStr" s="6">
        <is>
          <t/>
        </is>
      </c>
      <c r="G5" t="inlineStr" s="6">
        <is>
          <t/>
        </is>
      </c>
      <c r="H5" t="inlineStr" s="6">
        <is>
          <t>Items: None</t>
        </is>
      </c>
    </row>
    <row r="6">
      <c r="A6" t="inlineStr" s="5">
        <is>
          <t>Level</t>
        </is>
      </c>
      <c r="B6" t="inlineStr" s="6">
        <is>
          <t>Lv. 3</t>
        </is>
      </c>
      <c r="C6" t="inlineStr" s="6">
        <is>
          <t>Lv. 4</t>
        </is>
      </c>
      <c r="D6" t="inlineStr" s="6">
        <is>
          <t/>
        </is>
      </c>
      <c r="E6" t="inlineStr" s="6">
        <is>
          <t/>
        </is>
      </c>
      <c r="F6" t="inlineStr" s="6">
        <is>
          <t/>
        </is>
      </c>
      <c r="G6" t="inlineStr" s="6">
        <is>
          <t/>
        </is>
      </c>
      <c r="H6" t="inlineStr" s="6">
        <is>
          <t>Team size: 2</t>
        </is>
      </c>
    </row>
    <row r="7">
      <c r="A7" t="inlineStr" s="5">
        <is>
          <t>Held Item</t>
        </is>
      </c>
      <c r="B7" t="inlineStr" s="6">
        <is>
          <t/>
        </is>
      </c>
      <c r="C7" t="inlineStr" s="6">
        <is>
          <t/>
        </is>
      </c>
      <c r="D7" t="inlineStr" s="6">
        <is>
          <t/>
        </is>
      </c>
      <c r="E7" t="inlineStr" s="6">
        <is>
          <t/>
        </is>
      </c>
      <c r="F7" t="inlineStr" s="6">
        <is>
          <t/>
        </is>
      </c>
      <c r="G7" t="inlineStr" s="6">
        <is>
          <t/>
        </is>
      </c>
      <c r="H7" t="inlineStr" s="6">
        <is>
          <t/>
        </is>
      </c>
    </row>
    <row r="8">
      <c r="A8" t="inlineStr" s="5">
        <is>
          <t>Move One</t>
        </is>
      </c>
      <c r="B8" t="inlineStr" s="6">
        <is>
          <t>Growl</t>
        </is>
      </c>
      <c r="C8" t="inlineStr" s="6">
        <is>
          <t>Tackle</t>
        </is>
      </c>
      <c r="D8" t="inlineStr" s="6">
        <is>
          <t/>
        </is>
      </c>
      <c r="E8" t="inlineStr" s="6">
        <is>
          <t/>
        </is>
      </c>
      <c r="F8" t="inlineStr" s="6">
        <is>
          <t/>
        </is>
      </c>
      <c r="G8" t="inlineStr" s="6">
        <is>
          <t/>
        </is>
      </c>
      <c r="H8" t="inlineStr" s="6">
        <is>
          <t/>
        </is>
      </c>
    </row>
    <row r="9">
      <c r="A9" t="inlineStr" s="5">
        <is>
          <t>Move Two</t>
        </is>
      </c>
      <c r="B9" t="inlineStr" s="6">
        <is>
          <t>Peck</t>
        </is>
      </c>
      <c r="C9" t="inlineStr" s="6">
        <is>
          <t>Howl</t>
        </is>
      </c>
      <c r="D9" t="inlineStr" s="6">
        <is>
          <t/>
        </is>
      </c>
      <c r="E9" t="inlineStr" s="6">
        <is>
          <t/>
        </is>
      </c>
      <c r="F9" t="inlineStr" s="6">
        <is>
          <t/>
        </is>
      </c>
      <c r="G9" t="inlineStr" s="6">
        <is>
          <t/>
        </is>
      </c>
      <c r="H9" t="inlineStr" s="6">
        <is>
          <t/>
        </is>
      </c>
    </row>
    <row r="10">
      <c r="A10" t="inlineStr" s="5">
        <is>
          <t>Move Three</t>
        </is>
      </c>
      <c r="B10" t="inlineStr" s="6">
        <is>
          <t>Tackle</t>
        </is>
      </c>
      <c r="C10" t="inlineStr" s="6">
        <is>
          <t/>
        </is>
      </c>
      <c r="D10" t="inlineStr" s="6">
        <is>
          <t/>
        </is>
      </c>
      <c r="E10" t="inlineStr" s="6">
        <is>
          <t/>
        </is>
      </c>
      <c r="F10" t="inlineStr" s="6">
        <is>
          <t/>
        </is>
      </c>
      <c r="G10" t="inlineStr" s="6">
        <is>
          <t/>
        </is>
      </c>
      <c r="H10" t="inlineStr" s="6">
        <is>
          <t/>
        </is>
      </c>
    </row>
    <row r="11">
      <c r="A11" t="inlineStr" s="5">
        <is>
          <t>Move Four</t>
        </is>
      </c>
      <c r="B11" t="inlineStr" s="6">
        <is>
          <t/>
        </is>
      </c>
      <c r="C11" t="inlineStr" s="6">
        <is>
          <t/>
        </is>
      </c>
      <c r="D11" t="inlineStr" s="6">
        <is>
          <t/>
        </is>
      </c>
      <c r="E11" t="inlineStr" s="6">
        <is>
          <t/>
        </is>
      </c>
      <c r="F11" t="inlineStr" s="6">
        <is>
          <t/>
        </is>
      </c>
      <c r="G11" t="inlineStr" s="6">
        <is>
          <t/>
        </is>
      </c>
      <c r="H11" t="inlineStr" s="6">
        <is>
          <t/>
        </is>
      </c>
    </row>
    <row r="12">
      <c r="A12" t="inlineStr" s="5">
        <is>
          <t>Source</t>
        </is>
      </c>
      <c r="B12" t="inlineStr" s="7">
        <is>
          <t>learnset &lt;= L3</t>
        </is>
      </c>
      <c r="C12" t="inlineStr" s="7">
        <is>
          <t>learnset &lt;= L4</t>
        </is>
      </c>
      <c r="D12" t="inlineStr" s="7">
        <is>
          <t/>
        </is>
      </c>
      <c r="E12" t="inlineStr" s="7">
        <is>
          <t/>
        </is>
      </c>
      <c r="F12" t="inlineStr" s="7">
        <is>
          <t/>
        </is>
      </c>
      <c r="G12" t="inlineStr" s="7">
        <is>
          <t/>
        </is>
      </c>
      <c r="H12" t="inlineStr" s="7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ht="24" customHeight="1">
      <c r="A14" t="inlineStr" s="4">
        <is>
          <t>ID 5 | Lass - Victoria</t>
        </is>
      </c>
      <c r="B14" t="inlineStr" s="4">
        <is>
          <t>Pokemon 1</t>
        </is>
      </c>
      <c r="C14" t="inlineStr" s="4">
        <is>
          <t>Pokemon 2</t>
        </is>
      </c>
      <c r="D14" t="inlineStr" s="4">
        <is>
          <t>Pokemon 3</t>
        </is>
      </c>
      <c r="E14" t="inlineStr" s="4">
        <is>
          <t>Pokemon 4</t>
        </is>
      </c>
      <c r="F14" t="inlineStr" s="4">
        <is>
          <t>Pokemon 5</t>
        </is>
      </c>
      <c r="G14" t="inlineStr" s="4">
        <is>
          <t>Pokemon 6</t>
        </is>
      </c>
      <c r="H14" t="inlineStr" s="4">
        <is>
          <t>Route 2 | Double Battle</t>
        </is>
      </c>
    </row>
    <row r="15" ht="64" customHeight="1">
      <c r="A15" t="inlineStr" s="6">
        <is>
          <t/>
        </is>
      </c>
      <c r="B15" s="6">
        <f>IMAGE("https://img.pokemondb.net/sprites/home/normal/hoppip.png")</f>
      </c>
      <c r="C15" s="6">
        <f>IMAGE("https://img.pokemondb.net/sprites/home/normal/bellsprout.png")</f>
      </c>
      <c r="D15" s="6">
        <f>IMAGE("https://img.pokemondb.net/sprites/home/normal/swablu.png")</f>
      </c>
      <c r="E15" t="inlineStr" s="6">
        <is>
          <t/>
        </is>
      </c>
      <c r="F15" t="inlineStr" s="6">
        <is>
          <t/>
        </is>
      </c>
      <c r="G15" t="inlineStr" s="6">
        <is>
          <t/>
        </is>
      </c>
      <c r="H15" t="inlineStr" s="6">
        <is>
          <t/>
        </is>
      </c>
    </row>
    <row r="16">
      <c r="A16" t="inlineStr" s="5">
        <is>
          <t>Pokemon</t>
        </is>
      </c>
      <c r="B16" t="inlineStr" s="6">
        <is>
          <t>Hoppip</t>
        </is>
      </c>
      <c r="C16" t="inlineStr" s="6">
        <is>
          <t>Bellsprout</t>
        </is>
      </c>
      <c r="D16" t="inlineStr" s="6">
        <is>
          <t>Swablu (Ace)</t>
        </is>
      </c>
      <c r="E16" t="inlineStr" s="6">
        <is>
          <t/>
        </is>
      </c>
      <c r="F16" t="inlineStr" s="6">
        <is>
          <t/>
        </is>
      </c>
      <c r="G16" t="inlineStr" s="6">
        <is>
          <t/>
        </is>
      </c>
      <c r="H16" t="inlineStr" s="6">
        <is>
          <t>Items: None</t>
        </is>
      </c>
    </row>
    <row r="17">
      <c r="A17" t="inlineStr" s="5">
        <is>
          <t>Level</t>
        </is>
      </c>
      <c r="B17" t="inlineStr" s="6">
        <is>
          <t>Lv. 5</t>
        </is>
      </c>
      <c r="C17" t="inlineStr" s="6">
        <is>
          <t>Lv. 5</t>
        </is>
      </c>
      <c r="D17" t="inlineStr" s="6">
        <is>
          <t>Lv. 7</t>
        </is>
      </c>
      <c r="E17" t="inlineStr" s="6">
        <is>
          <t/>
        </is>
      </c>
      <c r="F17" t="inlineStr" s="6">
        <is>
          <t/>
        </is>
      </c>
      <c r="G17" t="inlineStr" s="6">
        <is>
          <t/>
        </is>
      </c>
      <c r="H17" t="inlineStr" s="6">
        <is>
          <t>Team size: 3</t>
        </is>
      </c>
    </row>
    <row r="18">
      <c r="A18" t="inlineStr" s="5">
        <is>
          <t>Held Item</t>
        </is>
      </c>
      <c r="B18" t="inlineStr" s="6">
        <is>
          <t/>
        </is>
      </c>
      <c r="C18" t="inlineStr" s="6">
        <is>
          <t/>
        </is>
      </c>
      <c r="D18" t="inlineStr" s="6">
        <is>
          <t/>
        </is>
      </c>
      <c r="E18" t="inlineStr" s="6">
        <is>
          <t/>
        </is>
      </c>
      <c r="F18" t="inlineStr" s="6">
        <is>
          <t/>
        </is>
      </c>
      <c r="G18" t="inlineStr" s="6">
        <is>
          <t/>
        </is>
      </c>
      <c r="H18" t="inlineStr" s="6">
        <is>
          <t/>
        </is>
      </c>
    </row>
    <row r="19">
      <c r="A19" t="inlineStr" s="5">
        <is>
          <t>Move One</t>
        </is>
      </c>
      <c r="B19" t="inlineStr" s="6">
        <is>
          <t>Splash</t>
        </is>
      </c>
      <c r="C19" t="inlineStr" s="6">
        <is>
          <t>Vine Whip</t>
        </is>
      </c>
      <c r="D19" t="inlineStr" s="6">
        <is>
          <t>Growl</t>
        </is>
      </c>
      <c r="E19" t="inlineStr" s="6">
        <is>
          <t/>
        </is>
      </c>
      <c r="F19" t="inlineStr" s="6">
        <is>
          <t/>
        </is>
      </c>
      <c r="G19" t="inlineStr" s="6">
        <is>
          <t/>
        </is>
      </c>
      <c r="H19" t="inlineStr" s="6">
        <is>
          <t/>
        </is>
      </c>
    </row>
    <row r="20">
      <c r="A20" t="inlineStr" s="5">
        <is>
          <t>Move Two</t>
        </is>
      </c>
      <c r="B20" t="inlineStr" s="6">
        <is>
          <t>Tackle</t>
        </is>
      </c>
      <c r="C20" t="inlineStr" s="6">
        <is>
          <t/>
        </is>
      </c>
      <c r="D20" t="inlineStr" s="6">
        <is>
          <t>Peck</t>
        </is>
      </c>
      <c r="E20" t="inlineStr" s="6">
        <is>
          <t/>
        </is>
      </c>
      <c r="F20" t="inlineStr" s="6">
        <is>
          <t/>
        </is>
      </c>
      <c r="G20" t="inlineStr" s="6">
        <is>
          <t/>
        </is>
      </c>
      <c r="H20" t="inlineStr" s="6">
        <is>
          <t/>
        </is>
      </c>
    </row>
    <row r="21">
      <c r="A21" t="inlineStr" s="5">
        <is>
          <t>Move Three</t>
        </is>
      </c>
      <c r="B21" t="inlineStr" s="6">
        <is>
          <t>Tail Whip</t>
        </is>
      </c>
      <c r="C21" t="inlineStr" s="6">
        <is>
          <t/>
        </is>
      </c>
      <c r="D21" t="inlineStr" s="6">
        <is>
          <t>Disarming Voice</t>
        </is>
      </c>
      <c r="E21" t="inlineStr" s="6">
        <is>
          <t/>
        </is>
      </c>
      <c r="F21" t="inlineStr" s="6">
        <is>
          <t/>
        </is>
      </c>
      <c r="G21" t="inlineStr" s="6">
        <is>
          <t/>
        </is>
      </c>
      <c r="H21" t="inlineStr" s="6">
        <is>
          <t/>
        </is>
      </c>
    </row>
    <row r="22">
      <c r="A22" t="inlineStr" s="5">
        <is>
          <t>Move Four</t>
        </is>
      </c>
      <c r="B22" t="inlineStr" s="6">
        <is>
          <t/>
        </is>
      </c>
      <c r="C22" t="inlineStr" s="6">
        <is>
          <t/>
        </is>
      </c>
      <c r="D22" t="inlineStr" s="6">
        <is>
          <t/>
        </is>
      </c>
      <c r="E22" t="inlineStr" s="6">
        <is>
          <t/>
        </is>
      </c>
      <c r="F22" t="inlineStr" s="6">
        <is>
          <t/>
        </is>
      </c>
      <c r="G22" t="inlineStr" s="6">
        <is>
          <t/>
        </is>
      </c>
      <c r="H22" t="inlineStr" s="6">
        <is>
          <t/>
        </is>
      </c>
    </row>
    <row r="23">
      <c r="A23" t="inlineStr" s="5">
        <is>
          <t>Source</t>
        </is>
      </c>
      <c r="B23" t="inlineStr" s="7">
        <is>
          <t>learnset &lt;= L5</t>
        </is>
      </c>
      <c r="C23" t="inlineStr" s="7">
        <is>
          <t>learnset &lt;= L5</t>
        </is>
      </c>
      <c r="D23" t="inlineStr" s="7">
        <is>
          <t>learnset &lt;= L7</t>
        </is>
      </c>
      <c r="E23" t="inlineStr" s="7">
        <is>
          <t/>
        </is>
      </c>
      <c r="F23" t="inlineStr" s="7">
        <is>
          <t/>
        </is>
      </c>
      <c r="G23" t="inlineStr" s="7">
        <is>
          <t/>
        </is>
      </c>
      <c r="H23" t="inlineStr" s="7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ht="24" customHeight="1">
      <c r="A25" t="inlineStr" s="4">
        <is>
          <t>ID 8 | Youngster - Joey</t>
        </is>
      </c>
      <c r="B25" t="inlineStr" s="4">
        <is>
          <t>Pokemon 1</t>
        </is>
      </c>
      <c r="C25" t="inlineStr" s="4">
        <is>
          <t>Pokemon 2</t>
        </is>
      </c>
      <c r="D25" t="inlineStr" s="4">
        <is>
          <t>Pokemon 3</t>
        </is>
      </c>
      <c r="E25" t="inlineStr" s="4">
        <is>
          <t>Pokemon 4</t>
        </is>
      </c>
      <c r="F25" t="inlineStr" s="4">
        <is>
          <t>Pokemon 5</t>
        </is>
      </c>
      <c r="G25" t="inlineStr" s="4">
        <is>
          <t>Pokemon 6</t>
        </is>
      </c>
      <c r="H25" t="inlineStr" s="4">
        <is>
          <t>Route 2 | Double Battle</t>
        </is>
      </c>
    </row>
    <row r="26" ht="64" customHeight="1">
      <c r="A26" t="inlineStr" s="6">
        <is>
          <t/>
        </is>
      </c>
      <c r="B26" s="6">
        <f>IMAGE("https://img.pokemondb.net/sprites/home/normal/pidgey.png")</f>
      </c>
      <c r="C26" s="6">
        <f>IMAGE("https://img.pokemondb.net/sprites/home/normal/rattata.png")</f>
      </c>
      <c r="D26" t="inlineStr" s="6">
        <is>
          <t/>
        </is>
      </c>
      <c r="E26" t="inlineStr" s="6">
        <is>
          <t/>
        </is>
      </c>
      <c r="F26" t="inlineStr" s="6">
        <is>
          <t/>
        </is>
      </c>
      <c r="G26" t="inlineStr" s="6">
        <is>
          <t/>
        </is>
      </c>
      <c r="H26" t="inlineStr" s="6">
        <is>
          <t/>
        </is>
      </c>
    </row>
    <row r="27">
      <c r="A27" t="inlineStr" s="5">
        <is>
          <t>Pokemon</t>
        </is>
      </c>
      <c r="B27" t="inlineStr" s="6">
        <is>
          <t>Pidgey</t>
        </is>
      </c>
      <c r="C27" t="inlineStr" s="6">
        <is>
          <t>Rattata (Ace)</t>
        </is>
      </c>
      <c r="D27" t="inlineStr" s="6">
        <is>
          <t/>
        </is>
      </c>
      <c r="E27" t="inlineStr" s="6">
        <is>
          <t/>
        </is>
      </c>
      <c r="F27" t="inlineStr" s="6">
        <is>
          <t/>
        </is>
      </c>
      <c r="G27" t="inlineStr" s="6">
        <is>
          <t/>
        </is>
      </c>
      <c r="H27" t="inlineStr" s="6">
        <is>
          <t>Items: None</t>
        </is>
      </c>
    </row>
    <row r="28">
      <c r="A28" t="inlineStr" s="5">
        <is>
          <t>Level</t>
        </is>
      </c>
      <c r="B28" t="inlineStr" s="6">
        <is>
          <t>Lv. 3</t>
        </is>
      </c>
      <c r="C28" t="inlineStr" s="6">
        <is>
          <t>Lv. 4</t>
        </is>
      </c>
      <c r="D28" t="inlineStr" s="6">
        <is>
          <t/>
        </is>
      </c>
      <c r="E28" t="inlineStr" s="6">
        <is>
          <t/>
        </is>
      </c>
      <c r="F28" t="inlineStr" s="6">
        <is>
          <t/>
        </is>
      </c>
      <c r="G28" t="inlineStr" s="6">
        <is>
          <t/>
        </is>
      </c>
      <c r="H28" t="inlineStr" s="6">
        <is>
          <t>Team size: 2</t>
        </is>
      </c>
    </row>
    <row r="29">
      <c r="A29" t="inlineStr" s="5">
        <is>
          <t>Held Item</t>
        </is>
      </c>
      <c r="B29" t="inlineStr" s="6">
        <is>
          <t/>
        </is>
      </c>
      <c r="C29" t="inlineStr" s="6">
        <is>
          <t/>
        </is>
      </c>
      <c r="D29" t="inlineStr" s="6">
        <is>
          <t/>
        </is>
      </c>
      <c r="E29" t="inlineStr" s="6">
        <is>
          <t/>
        </is>
      </c>
      <c r="F29" t="inlineStr" s="6">
        <is>
          <t/>
        </is>
      </c>
      <c r="G29" t="inlineStr" s="6">
        <is>
          <t/>
        </is>
      </c>
      <c r="H29" t="inlineStr" s="6">
        <is>
          <t/>
        </is>
      </c>
    </row>
    <row r="30">
      <c r="A30" t="inlineStr" s="5">
        <is>
          <t>Move One</t>
        </is>
      </c>
      <c r="B30" t="inlineStr" s="6">
        <is>
          <t>Tackle</t>
        </is>
      </c>
      <c r="C30" t="inlineStr" s="6">
        <is>
          <t>Tackle</t>
        </is>
      </c>
      <c r="D30" t="inlineStr" s="6">
        <is>
          <t/>
        </is>
      </c>
      <c r="E30" t="inlineStr" s="6">
        <is>
          <t/>
        </is>
      </c>
      <c r="F30" t="inlineStr" s="6">
        <is>
          <t/>
        </is>
      </c>
      <c r="G30" t="inlineStr" s="6">
        <is>
          <t/>
        </is>
      </c>
      <c r="H30" t="inlineStr" s="6">
        <is>
          <t/>
        </is>
      </c>
    </row>
    <row r="31">
      <c r="A31" t="inlineStr" s="5">
        <is>
          <t>Move Two</t>
        </is>
      </c>
      <c r="B31" t="inlineStr" s="6">
        <is>
          <t/>
        </is>
      </c>
      <c r="C31" t="inlineStr" s="6">
        <is>
          <t>Tail Whip</t>
        </is>
      </c>
      <c r="D31" t="inlineStr" s="6">
        <is>
          <t/>
        </is>
      </c>
      <c r="E31" t="inlineStr" s="6">
        <is>
          <t/>
        </is>
      </c>
      <c r="F31" t="inlineStr" s="6">
        <is>
          <t/>
        </is>
      </c>
      <c r="G31" t="inlineStr" s="6">
        <is>
          <t/>
        </is>
      </c>
      <c r="H31" t="inlineStr" s="6">
        <is>
          <t/>
        </is>
      </c>
    </row>
    <row r="32">
      <c r="A32" t="inlineStr" s="5">
        <is>
          <t>Move Three</t>
        </is>
      </c>
      <c r="B32" t="inlineStr" s="6">
        <is>
          <t/>
        </is>
      </c>
      <c r="C32" t="inlineStr" s="6">
        <is>
          <t>Quick Attack</t>
        </is>
      </c>
      <c r="D32" t="inlineStr" s="6">
        <is>
          <t/>
        </is>
      </c>
      <c r="E32" t="inlineStr" s="6">
        <is>
          <t/>
        </is>
      </c>
      <c r="F32" t="inlineStr" s="6">
        <is>
          <t/>
        </is>
      </c>
      <c r="G32" t="inlineStr" s="6">
        <is>
          <t/>
        </is>
      </c>
      <c r="H32" t="inlineStr" s="6">
        <is>
          <t/>
        </is>
      </c>
    </row>
    <row r="33">
      <c r="A33" t="inlineStr" s="5">
        <is>
          <t>Move Four</t>
        </is>
      </c>
      <c r="B33" t="inlineStr" s="6">
        <is>
          <t/>
        </is>
      </c>
      <c r="C33" t="inlineStr" s="6">
        <is>
          <t/>
        </is>
      </c>
      <c r="D33" t="inlineStr" s="6">
        <is>
          <t/>
        </is>
      </c>
      <c r="E33" t="inlineStr" s="6">
        <is>
          <t/>
        </is>
      </c>
      <c r="F33" t="inlineStr" s="6">
        <is>
          <t/>
        </is>
      </c>
      <c r="G33" t="inlineStr" s="6">
        <is>
          <t/>
        </is>
      </c>
      <c r="H33" t="inlineStr" s="6">
        <is>
          <t/>
        </is>
      </c>
    </row>
    <row r="34">
      <c r="A34" t="inlineStr" s="5">
        <is>
          <t>Source</t>
        </is>
      </c>
      <c r="B34" t="inlineStr" s="7">
        <is>
          <t>learnset &lt;= L3</t>
        </is>
      </c>
      <c r="C34" t="inlineStr" s="7">
        <is>
          <t>learnset &lt;= L4</t>
        </is>
      </c>
      <c r="D34" t="inlineStr" s="7">
        <is>
          <t/>
        </is>
      </c>
      <c r="E34" t="inlineStr" s="7">
        <is>
          <t/>
        </is>
      </c>
      <c r="F34" t="inlineStr" s="7">
        <is>
          <t/>
        </is>
      </c>
      <c r="G34" t="inlineStr" s="7">
        <is>
          <t/>
        </is>
      </c>
      <c r="H34" t="inlineStr" s="7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ht="24" customHeight="1">
      <c r="A36" t="inlineStr" s="4">
        <is>
          <t>ID 9 | Bug Catcher - Leo</t>
        </is>
      </c>
      <c r="B36" t="inlineStr" s="4">
        <is>
          <t>Pokemon 1</t>
        </is>
      </c>
      <c r="C36" t="inlineStr" s="4">
        <is>
          <t>Pokemon 2</t>
        </is>
      </c>
      <c r="D36" t="inlineStr" s="4">
        <is>
          <t>Pokemon 3</t>
        </is>
      </c>
      <c r="E36" t="inlineStr" s="4">
        <is>
          <t>Pokemon 4</t>
        </is>
      </c>
      <c r="F36" t="inlineStr" s="4">
        <is>
          <t>Pokemon 5</t>
        </is>
      </c>
      <c r="G36" t="inlineStr" s="4">
        <is>
          <t>Pokemon 6</t>
        </is>
      </c>
      <c r="H36" t="inlineStr" s="4">
        <is>
          <t>Route 2 | Double Battle</t>
        </is>
      </c>
    </row>
    <row r="37" ht="64" customHeight="1">
      <c r="A37" t="inlineStr" s="6">
        <is>
          <t/>
        </is>
      </c>
      <c r="B37" s="6">
        <f>IMAGE("https://img.pokemondb.net/sprites/home/normal/venipede.png")</f>
      </c>
      <c r="C37" s="6">
        <f>IMAGE("https://img.pokemondb.net/sprites/home/normal/metapod.png")</f>
      </c>
      <c r="D37" s="6">
        <f>IMAGE("https://img.pokemondb.net/sprites/home/normal/kakuna.png")</f>
      </c>
      <c r="E37" t="inlineStr" s="6">
        <is>
          <t/>
        </is>
      </c>
      <c r="F37" t="inlineStr" s="6">
        <is>
          <t/>
        </is>
      </c>
      <c r="G37" t="inlineStr" s="6">
        <is>
          <t/>
        </is>
      </c>
      <c r="H37" t="inlineStr" s="6">
        <is>
          <t/>
        </is>
      </c>
    </row>
    <row r="38">
      <c r="A38" t="inlineStr" s="5">
        <is>
          <t>Pokemon</t>
        </is>
      </c>
      <c r="B38" t="inlineStr" s="6">
        <is>
          <t>Venipede (Ace)</t>
        </is>
      </c>
      <c r="C38" t="inlineStr" s="6">
        <is>
          <t>Metapod</t>
        </is>
      </c>
      <c r="D38" t="inlineStr" s="6">
        <is>
          <t>Kakuna</t>
        </is>
      </c>
      <c r="E38" t="inlineStr" s="6">
        <is>
          <t/>
        </is>
      </c>
      <c r="F38" t="inlineStr" s="6">
        <is>
          <t/>
        </is>
      </c>
      <c r="G38" t="inlineStr" s="6">
        <is>
          <t/>
        </is>
      </c>
      <c r="H38" t="inlineStr" s="6">
        <is>
          <t>Items: None</t>
        </is>
      </c>
    </row>
    <row r="39">
      <c r="A39" t="inlineStr" s="5">
        <is>
          <t>Level</t>
        </is>
      </c>
      <c r="B39" t="inlineStr" s="6">
        <is>
          <t>Lv. 7</t>
        </is>
      </c>
      <c r="C39" t="inlineStr" s="6">
        <is>
          <t>Lv. 6</t>
        </is>
      </c>
      <c r="D39" t="inlineStr" s="6">
        <is>
          <t>Lv. 6</t>
        </is>
      </c>
      <c r="E39" t="inlineStr" s="6">
        <is>
          <t/>
        </is>
      </c>
      <c r="F39" t="inlineStr" s="6">
        <is>
          <t/>
        </is>
      </c>
      <c r="G39" t="inlineStr" s="6">
        <is>
          <t/>
        </is>
      </c>
      <c r="H39" t="inlineStr" s="6">
        <is>
          <t>Team size: 3</t>
        </is>
      </c>
    </row>
    <row r="40">
      <c r="A40" t="inlineStr" s="5">
        <is>
          <t>Held Item</t>
        </is>
      </c>
      <c r="B40" t="inlineStr" s="6">
        <is>
          <t/>
        </is>
      </c>
      <c r="C40" t="inlineStr" s="6">
        <is>
          <t/>
        </is>
      </c>
      <c r="D40" t="inlineStr" s="6">
        <is>
          <t/>
        </is>
      </c>
      <c r="E40" t="inlineStr" s="6">
        <is>
          <t/>
        </is>
      </c>
      <c r="F40" t="inlineStr" s="6">
        <is>
          <t/>
        </is>
      </c>
      <c r="G40" t="inlineStr" s="6">
        <is>
          <t/>
        </is>
      </c>
      <c r="H40" t="inlineStr" s="6">
        <is>
          <t/>
        </is>
      </c>
    </row>
    <row r="41">
      <c r="A41" t="inlineStr" s="5">
        <is>
          <t>Move One</t>
        </is>
      </c>
      <c r="B41" t="inlineStr" s="6">
        <is>
          <t>Poison Sting</t>
        </is>
      </c>
      <c r="C41" t="inlineStr" s="6">
        <is>
          <t>Harden</t>
        </is>
      </c>
      <c r="D41" t="inlineStr" s="6">
        <is>
          <t>Harden</t>
        </is>
      </c>
      <c r="E41" t="inlineStr" s="6">
        <is>
          <t/>
        </is>
      </c>
      <c r="F41" t="inlineStr" s="6">
        <is>
          <t/>
        </is>
      </c>
      <c r="G41" t="inlineStr" s="6">
        <is>
          <t/>
        </is>
      </c>
      <c r="H41" t="inlineStr" s="6">
        <is>
          <t/>
        </is>
      </c>
    </row>
    <row r="42">
      <c r="A42" t="inlineStr" s="5">
        <is>
          <t>Move Two</t>
        </is>
      </c>
      <c r="B42" t="inlineStr" s="6">
        <is>
          <t>Defense Curl</t>
        </is>
      </c>
      <c r="C42" t="inlineStr" s="6">
        <is>
          <t/>
        </is>
      </c>
      <c r="D42" t="inlineStr" s="6">
        <is>
          <t/>
        </is>
      </c>
      <c r="E42" t="inlineStr" s="6">
        <is>
          <t/>
        </is>
      </c>
      <c r="F42" t="inlineStr" s="6">
        <is>
          <t/>
        </is>
      </c>
      <c r="G42" t="inlineStr" s="6">
        <is>
          <t/>
        </is>
      </c>
      <c r="H42" t="inlineStr" s="6">
        <is>
          <t/>
        </is>
      </c>
    </row>
    <row r="43">
      <c r="A43" t="inlineStr" s="5">
        <is>
          <t>Move Three</t>
        </is>
      </c>
      <c r="B43" t="inlineStr" s="6">
        <is>
          <t>Rollout</t>
        </is>
      </c>
      <c r="C43" t="inlineStr" s="6">
        <is>
          <t/>
        </is>
      </c>
      <c r="D43" t="inlineStr" s="6">
        <is>
          <t/>
        </is>
      </c>
      <c r="E43" t="inlineStr" s="6">
        <is>
          <t/>
        </is>
      </c>
      <c r="F43" t="inlineStr" s="6">
        <is>
          <t/>
        </is>
      </c>
      <c r="G43" t="inlineStr" s="6">
        <is>
          <t/>
        </is>
      </c>
      <c r="H43" t="inlineStr" s="6">
        <is>
          <t/>
        </is>
      </c>
    </row>
    <row r="44">
      <c r="A44" t="inlineStr" s="5">
        <is>
          <t>Move Four</t>
        </is>
      </c>
      <c r="B44" t="inlineStr" s="6">
        <is>
          <t/>
        </is>
      </c>
      <c r="C44" t="inlineStr" s="6">
        <is>
          <t/>
        </is>
      </c>
      <c r="D44" t="inlineStr" s="6">
        <is>
          <t/>
        </is>
      </c>
      <c r="E44" t="inlineStr" s="6">
        <is>
          <t/>
        </is>
      </c>
      <c r="F44" t="inlineStr" s="6">
        <is>
          <t/>
        </is>
      </c>
      <c r="G44" t="inlineStr" s="6">
        <is>
          <t/>
        </is>
      </c>
      <c r="H44" t="inlineStr" s="6">
        <is>
          <t/>
        </is>
      </c>
    </row>
    <row r="45">
      <c r="A45" t="inlineStr" s="5">
        <is>
          <t>Source</t>
        </is>
      </c>
      <c r="B45" t="inlineStr" s="7">
        <is>
          <t>learnset &lt;= L7</t>
        </is>
      </c>
      <c r="C45" t="inlineStr" s="7">
        <is>
          <t>learnset &lt;= L6</t>
        </is>
      </c>
      <c r="D45" t="inlineStr" s="7">
        <is>
          <t>learnset &lt;= L6</t>
        </is>
      </c>
      <c r="E45" t="inlineStr" s="7">
        <is>
          <t/>
        </is>
      </c>
      <c r="F45" t="inlineStr" s="7">
        <is>
          <t/>
        </is>
      </c>
      <c r="G45" t="inlineStr" s="7">
        <is>
          <t/>
        </is>
      </c>
      <c r="H45" t="inlineStr" s="7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 ht="24" customHeight="1">
      <c r="A47" t="inlineStr" s="4">
        <is>
          <t>ID 11 | Hiker - Aiden</t>
        </is>
      </c>
      <c r="B47" t="inlineStr" s="4">
        <is>
          <t>Pokemon 1</t>
        </is>
      </c>
      <c r="C47" t="inlineStr" s="4">
        <is>
          <t>Pokemon 2</t>
        </is>
      </c>
      <c r="D47" t="inlineStr" s="4">
        <is>
          <t>Pokemon 3</t>
        </is>
      </c>
      <c r="E47" t="inlineStr" s="4">
        <is>
          <t>Pokemon 4</t>
        </is>
      </c>
      <c r="F47" t="inlineStr" s="4">
        <is>
          <t>Pokemon 5</t>
        </is>
      </c>
      <c r="G47" t="inlineStr" s="4">
        <is>
          <t>Pokemon 6</t>
        </is>
      </c>
      <c r="H47" t="inlineStr" s="4">
        <is>
          <t>Route 3, Ravaged Path | Double Battle</t>
        </is>
      </c>
    </row>
    <row r="48" ht="64" customHeight="1">
      <c r="A48" t="inlineStr" s="6">
        <is>
          <t/>
        </is>
      </c>
      <c r="B48" s="6">
        <f>IMAGE("https://img.pokemondb.net/sprites/home/normal/dugtrio.png")</f>
      </c>
      <c r="C48" s="6">
        <f>IMAGE("https://img.pokemondb.net/sprites/home/normal/diglett.png")</f>
      </c>
      <c r="D48" s="6">
        <f>IMAGE("https://img.pokemondb.net/sprites/home/normal/diglett.png")</f>
      </c>
      <c r="E48" s="6">
        <f>IMAGE("https://img.pokemondb.net/sprites/home/normal/geodude.png")</f>
      </c>
      <c r="F48" t="inlineStr" s="6">
        <is>
          <t/>
        </is>
      </c>
      <c r="G48" t="inlineStr" s="6">
        <is>
          <t/>
        </is>
      </c>
      <c r="H48" t="inlineStr" s="6">
        <is>
          <t/>
        </is>
      </c>
    </row>
    <row r="49">
      <c r="A49" t="inlineStr" s="5">
        <is>
          <t>Pokemon</t>
        </is>
      </c>
      <c r="B49" t="inlineStr" s="6">
        <is>
          <t>Dugtrio (Ace)</t>
        </is>
      </c>
      <c r="C49" t="inlineStr" s="6">
        <is>
          <t>Diglett</t>
        </is>
      </c>
      <c r="D49" t="inlineStr" s="6">
        <is>
          <t>Diglett</t>
        </is>
      </c>
      <c r="E49" t="inlineStr" s="6">
        <is>
          <t>Geodude</t>
        </is>
      </c>
      <c r="F49" t="inlineStr" s="6">
        <is>
          <t/>
        </is>
      </c>
      <c r="G49" t="inlineStr" s="6">
        <is>
          <t/>
        </is>
      </c>
      <c r="H49" t="inlineStr" s="6">
        <is>
          <t>Items: None</t>
        </is>
      </c>
    </row>
    <row r="50">
      <c r="A50" t="inlineStr" s="5">
        <is>
          <t>Level</t>
        </is>
      </c>
      <c r="B50" t="inlineStr" s="6">
        <is>
          <t>Lv. 12</t>
        </is>
      </c>
      <c r="C50" t="inlineStr" s="6">
        <is>
          <t>Lv. 8</t>
        </is>
      </c>
      <c r="D50" t="inlineStr" s="6">
        <is>
          <t>Lv. 8</t>
        </is>
      </c>
      <c r="E50" t="inlineStr" s="6">
        <is>
          <t>Lv. 9</t>
        </is>
      </c>
      <c r="F50" t="inlineStr" s="6">
        <is>
          <t/>
        </is>
      </c>
      <c r="G50" t="inlineStr" s="6">
        <is>
          <t/>
        </is>
      </c>
      <c r="H50" t="inlineStr" s="6">
        <is>
          <t>Team size: 4</t>
        </is>
      </c>
    </row>
    <row r="51">
      <c r="A51" t="inlineStr" s="5">
        <is>
          <t>Held Item</t>
        </is>
      </c>
      <c r="B51" t="inlineStr" s="6">
        <is>
          <t/>
        </is>
      </c>
      <c r="C51" t="inlineStr" s="6">
        <is>
          <t/>
        </is>
      </c>
      <c r="D51" t="inlineStr" s="6">
        <is>
          <t/>
        </is>
      </c>
      <c r="E51" t="inlineStr" s="6">
        <is>
          <t/>
        </is>
      </c>
      <c r="F51" t="inlineStr" s="6">
        <is>
          <t/>
        </is>
      </c>
      <c r="G51" t="inlineStr" s="6">
        <is>
          <t/>
        </is>
      </c>
      <c r="H51" t="inlineStr" s="6">
        <is>
          <t/>
        </is>
      </c>
    </row>
    <row r="52">
      <c r="A52" t="inlineStr" s="5">
        <is>
          <t>Move One</t>
        </is>
      </c>
      <c r="B52" t="inlineStr" s="6">
        <is>
          <t>Tri Attack</t>
        </is>
      </c>
      <c r="C52" t="inlineStr" s="6">
        <is>
          <t>Scratch</t>
        </is>
      </c>
      <c r="D52" t="inlineStr" s="6">
        <is>
          <t>Scratch</t>
        </is>
      </c>
      <c r="E52" t="inlineStr" s="6">
        <is>
          <t>Tackle</t>
        </is>
      </c>
      <c r="F52" t="inlineStr" s="6">
        <is>
          <t/>
        </is>
      </c>
      <c r="G52" t="inlineStr" s="6">
        <is>
          <t/>
        </is>
      </c>
      <c r="H52" t="inlineStr" s="6">
        <is>
          <t/>
        </is>
      </c>
    </row>
    <row r="53">
      <c r="A53" t="inlineStr" s="5">
        <is>
          <t>Move Two</t>
        </is>
      </c>
      <c r="B53" t="inlineStr" s="6">
        <is>
          <t>Astonish</t>
        </is>
      </c>
      <c r="C53" t="inlineStr" s="6">
        <is>
          <t>Sand Attack</t>
        </is>
      </c>
      <c r="D53" t="inlineStr" s="6">
        <is>
          <t>Sand Attack</t>
        </is>
      </c>
      <c r="E53" t="inlineStr" s="6">
        <is>
          <t>Defense Curl</t>
        </is>
      </c>
      <c r="F53" t="inlineStr" s="6">
        <is>
          <t/>
        </is>
      </c>
      <c r="G53" t="inlineStr" s="6">
        <is>
          <t/>
        </is>
      </c>
      <c r="H53" t="inlineStr" s="6">
        <is>
          <t/>
        </is>
      </c>
    </row>
    <row r="54">
      <c r="A54" t="inlineStr" s="5">
        <is>
          <t>Move Three</t>
        </is>
      </c>
      <c r="B54" t="inlineStr" s="6">
        <is>
          <t>Night Slash</t>
        </is>
      </c>
      <c r="C54" t="inlineStr" s="6">
        <is>
          <t>Growl</t>
        </is>
      </c>
      <c r="D54" t="inlineStr" s="6">
        <is>
          <t>Growl</t>
        </is>
      </c>
      <c r="E54" t="inlineStr" s="6">
        <is>
          <t>Rock Polish</t>
        </is>
      </c>
      <c r="F54" t="inlineStr" s="6">
        <is>
          <t/>
        </is>
      </c>
      <c r="G54" t="inlineStr" s="6">
        <is>
          <t/>
        </is>
      </c>
      <c r="H54" t="inlineStr" s="6">
        <is>
          <t/>
        </is>
      </c>
    </row>
    <row r="55">
      <c r="A55" t="inlineStr" s="5">
        <is>
          <t>Move Four</t>
        </is>
      </c>
      <c r="B55" t="inlineStr" s="6">
        <is>
          <t>Mud Slap</t>
        </is>
      </c>
      <c r="C55" t="inlineStr" s="6">
        <is>
          <t>Astonish</t>
        </is>
      </c>
      <c r="D55" t="inlineStr" s="6">
        <is>
          <t>Astonish</t>
        </is>
      </c>
      <c r="E55" t="inlineStr" s="6">
        <is>
          <t/>
        </is>
      </c>
      <c r="F55" t="inlineStr" s="6">
        <is>
          <t/>
        </is>
      </c>
      <c r="G55" t="inlineStr" s="6">
        <is>
          <t/>
        </is>
      </c>
      <c r="H55" t="inlineStr" s="6">
        <is>
          <t/>
        </is>
      </c>
    </row>
    <row r="56">
      <c r="A56" t="inlineStr" s="5">
        <is>
          <t>Source</t>
        </is>
      </c>
      <c r="B56" t="inlineStr" s="7">
        <is>
          <t>learnset &lt;= L12</t>
        </is>
      </c>
      <c r="C56" t="inlineStr" s="7">
        <is>
          <t>learnset &lt;= L8</t>
        </is>
      </c>
      <c r="D56" t="inlineStr" s="7">
        <is>
          <t>learnset &lt;= L8</t>
        </is>
      </c>
      <c r="E56" t="inlineStr" s="7">
        <is>
          <t>learnset &lt;= L9</t>
        </is>
      </c>
      <c r="F56" t="inlineStr" s="7">
        <is>
          <t/>
        </is>
      </c>
      <c r="G56" t="inlineStr" s="7">
        <is>
          <t/>
        </is>
      </c>
      <c r="H56" t="inlineStr" s="7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 ht="24" customHeight="1">
      <c r="A58" t="inlineStr" s="4">
        <is>
          <t>ID 12 | Elder - Marcus</t>
        </is>
      </c>
      <c r="B58" t="inlineStr" s="4">
        <is>
          <t>Pokemon 1</t>
        </is>
      </c>
      <c r="C58" t="inlineStr" s="4">
        <is>
          <t>Pokemon 2</t>
        </is>
      </c>
      <c r="D58" t="inlineStr" s="4">
        <is>
          <t>Pokemon 3</t>
        </is>
      </c>
      <c r="E58" t="inlineStr" s="4">
        <is>
          <t>Pokemon 4</t>
        </is>
      </c>
      <c r="F58" t="inlineStr" s="4">
        <is>
          <t>Pokemon 5</t>
        </is>
      </c>
      <c r="G58" t="inlineStr" s="4">
        <is>
          <t>Pokemon 6</t>
        </is>
      </c>
      <c r="H58" t="inlineStr" s="4">
        <is>
          <t>Route 3, Ravaged Path | Double Battle</t>
        </is>
      </c>
    </row>
    <row r="59" ht="64" customHeight="1">
      <c r="A59" t="inlineStr" s="6">
        <is>
          <t/>
        </is>
      </c>
      <c r="B59" s="6">
        <f>IMAGE("https://img.pokemondb.net/sprites/home/normal/sandshrew.png")</f>
      </c>
      <c r="C59" s="6">
        <f>IMAGE("https://img.pokemondb.net/sprites/home/normal/diglett.png")</f>
      </c>
      <c r="D59" t="inlineStr" s="6">
        <is>
          <t/>
        </is>
      </c>
      <c r="E59" t="inlineStr" s="6">
        <is>
          <t/>
        </is>
      </c>
      <c r="F59" t="inlineStr" s="6">
        <is>
          <t/>
        </is>
      </c>
      <c r="G59" t="inlineStr" s="6">
        <is>
          <t/>
        </is>
      </c>
      <c r="H59" t="inlineStr" s="6">
        <is>
          <t/>
        </is>
      </c>
    </row>
    <row r="60">
      <c r="A60" t="inlineStr" s="5">
        <is>
          <t>Pokemon</t>
        </is>
      </c>
      <c r="B60" t="inlineStr" s="6">
        <is>
          <t>Sandshrew (Ace)</t>
        </is>
      </c>
      <c r="C60" t="inlineStr" s="6">
        <is>
          <t>Diglett</t>
        </is>
      </c>
      <c r="D60" t="inlineStr" s="6">
        <is>
          <t/>
        </is>
      </c>
      <c r="E60" t="inlineStr" s="6">
        <is>
          <t/>
        </is>
      </c>
      <c r="F60" t="inlineStr" s="6">
        <is>
          <t/>
        </is>
      </c>
      <c r="G60" t="inlineStr" s="6">
        <is>
          <t/>
        </is>
      </c>
      <c r="H60" t="inlineStr" s="6">
        <is>
          <t>Items: None</t>
        </is>
      </c>
    </row>
    <row r="61">
      <c r="A61" t="inlineStr" s="5">
        <is>
          <t>Level</t>
        </is>
      </c>
      <c r="B61" t="inlineStr" s="6">
        <is>
          <t>Lv. 13</t>
        </is>
      </c>
      <c r="C61" t="inlineStr" s="6">
        <is>
          <t>Lv. 10</t>
        </is>
      </c>
      <c r="D61" t="inlineStr" s="6">
        <is>
          <t/>
        </is>
      </c>
      <c r="E61" t="inlineStr" s="6">
        <is>
          <t/>
        </is>
      </c>
      <c r="F61" t="inlineStr" s="6">
        <is>
          <t/>
        </is>
      </c>
      <c r="G61" t="inlineStr" s="6">
        <is>
          <t/>
        </is>
      </c>
      <c r="H61" t="inlineStr" s="6">
        <is>
          <t>Team size: 2</t>
        </is>
      </c>
    </row>
    <row r="62">
      <c r="A62" t="inlineStr" s="5">
        <is>
          <t>Held Item</t>
        </is>
      </c>
      <c r="B62" t="inlineStr" s="6">
        <is>
          <t/>
        </is>
      </c>
      <c r="C62" t="inlineStr" s="6">
        <is>
          <t/>
        </is>
      </c>
      <c r="D62" t="inlineStr" s="6">
        <is>
          <t/>
        </is>
      </c>
      <c r="E62" t="inlineStr" s="6">
        <is>
          <t/>
        </is>
      </c>
      <c r="F62" t="inlineStr" s="6">
        <is>
          <t/>
        </is>
      </c>
      <c r="G62" t="inlineStr" s="6">
        <is>
          <t/>
        </is>
      </c>
      <c r="H62" t="inlineStr" s="6">
        <is>
          <t/>
        </is>
      </c>
    </row>
    <row r="63">
      <c r="A63" t="inlineStr" s="5">
        <is>
          <t>Move One</t>
        </is>
      </c>
      <c r="B63" t="inlineStr" s="6">
        <is>
          <t>Poison Sting</t>
        </is>
      </c>
      <c r="C63" t="inlineStr" s="6">
        <is>
          <t>Scratch</t>
        </is>
      </c>
      <c r="D63" t="inlineStr" s="6">
        <is>
          <t/>
        </is>
      </c>
      <c r="E63" t="inlineStr" s="6">
        <is>
          <t/>
        </is>
      </c>
      <c r="F63" t="inlineStr" s="6">
        <is>
          <t/>
        </is>
      </c>
      <c r="G63" t="inlineStr" s="6">
        <is>
          <t/>
        </is>
      </c>
      <c r="H63" t="inlineStr" s="6">
        <is>
          <t/>
        </is>
      </c>
    </row>
    <row r="64">
      <c r="A64" t="inlineStr" s="5">
        <is>
          <t>Move Two</t>
        </is>
      </c>
      <c r="B64" t="inlineStr" s="6">
        <is>
          <t>Sand Attack</t>
        </is>
      </c>
      <c r="C64" t="inlineStr" s="6">
        <is>
          <t>Sand Attack</t>
        </is>
      </c>
      <c r="D64" t="inlineStr" s="6">
        <is>
          <t/>
        </is>
      </c>
      <c r="E64" t="inlineStr" s="6">
        <is>
          <t/>
        </is>
      </c>
      <c r="F64" t="inlineStr" s="6">
        <is>
          <t/>
        </is>
      </c>
      <c r="G64" t="inlineStr" s="6">
        <is>
          <t/>
        </is>
      </c>
      <c r="H64" t="inlineStr" s="6">
        <is>
          <t/>
        </is>
      </c>
    </row>
    <row r="65">
      <c r="A65" t="inlineStr" s="5">
        <is>
          <t>Move Three</t>
        </is>
      </c>
      <c r="B65" t="inlineStr" s="6">
        <is>
          <t>Rollout</t>
        </is>
      </c>
      <c r="C65" t="inlineStr" s="6">
        <is>
          <t>Growl</t>
        </is>
      </c>
      <c r="D65" t="inlineStr" s="6">
        <is>
          <t/>
        </is>
      </c>
      <c r="E65" t="inlineStr" s="6">
        <is>
          <t/>
        </is>
      </c>
      <c r="F65" t="inlineStr" s="6">
        <is>
          <t/>
        </is>
      </c>
      <c r="G65" t="inlineStr" s="6">
        <is>
          <t/>
        </is>
      </c>
      <c r="H65" t="inlineStr" s="6">
        <is>
          <t/>
        </is>
      </c>
    </row>
    <row r="66">
      <c r="A66" t="inlineStr" s="5">
        <is>
          <t>Move Four</t>
        </is>
      </c>
      <c r="B66" t="inlineStr" s="6">
        <is>
          <t>Fury Cutter</t>
        </is>
      </c>
      <c r="C66" t="inlineStr" s="6">
        <is>
          <t>Astonish</t>
        </is>
      </c>
      <c r="D66" t="inlineStr" s="6">
        <is>
          <t/>
        </is>
      </c>
      <c r="E66" t="inlineStr" s="6">
        <is>
          <t/>
        </is>
      </c>
      <c r="F66" t="inlineStr" s="6">
        <is>
          <t/>
        </is>
      </c>
      <c r="G66" t="inlineStr" s="6">
        <is>
          <t/>
        </is>
      </c>
      <c r="H66" t="inlineStr" s="6">
        <is>
          <t/>
        </is>
      </c>
    </row>
    <row r="67">
      <c r="A67" t="inlineStr" s="5">
        <is>
          <t>Source</t>
        </is>
      </c>
      <c r="B67" t="inlineStr" s="7">
        <is>
          <t>learnset &lt;= L13</t>
        </is>
      </c>
      <c r="C67" t="inlineStr" s="7">
        <is>
          <t>learnset &lt;= L10</t>
        </is>
      </c>
      <c r="D67" t="inlineStr" s="7">
        <is>
          <t/>
        </is>
      </c>
      <c r="E67" t="inlineStr" s="7">
        <is>
          <t/>
        </is>
      </c>
      <c r="F67" t="inlineStr" s="7">
        <is>
          <t/>
        </is>
      </c>
      <c r="G67" t="inlineStr" s="7">
        <is>
          <t/>
        </is>
      </c>
      <c r="H67" t="inlineStr" s="7">
        <is>
          <t/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 ht="24" customHeight="1">
      <c r="A69" t="inlineStr" s="4">
        <is>
          <t>ID 13 | Lass - Sarah</t>
        </is>
      </c>
      <c r="B69" t="inlineStr" s="4">
        <is>
          <t>Pokemon 1</t>
        </is>
      </c>
      <c r="C69" t="inlineStr" s="4">
        <is>
          <t>Pokemon 2</t>
        </is>
      </c>
      <c r="D69" t="inlineStr" s="4">
        <is>
          <t>Pokemon 3</t>
        </is>
      </c>
      <c r="E69" t="inlineStr" s="4">
        <is>
          <t>Pokemon 4</t>
        </is>
      </c>
      <c r="F69" t="inlineStr" s="4">
        <is>
          <t>Pokemon 5</t>
        </is>
      </c>
      <c r="G69" t="inlineStr" s="4">
        <is>
          <t>Pokemon 6</t>
        </is>
      </c>
      <c r="H69" t="inlineStr" s="4">
        <is>
          <t>Route 3 | Double Battle</t>
        </is>
      </c>
    </row>
    <row r="70" ht="64" customHeight="1">
      <c r="A70" t="inlineStr" s="6">
        <is>
          <t/>
        </is>
      </c>
      <c r="B70" s="6">
        <f>IMAGE("https://img.pokemondb.net/sprites/home/normal/cubone.png")</f>
      </c>
      <c r="C70" s="6">
        <f>IMAGE("https://img.pokemondb.net/sprites/home/normal/mankey.png")</f>
      </c>
      <c r="D70" s="6">
        <f>IMAGE("https://img.pokemondb.net/sprites/home/normal/teddiursa.png")</f>
      </c>
      <c r="E70" t="inlineStr" s="6">
        <is>
          <t/>
        </is>
      </c>
      <c r="F70" t="inlineStr" s="6">
        <is>
          <t/>
        </is>
      </c>
      <c r="G70" t="inlineStr" s="6">
        <is>
          <t/>
        </is>
      </c>
      <c r="H70" t="inlineStr" s="6">
        <is>
          <t/>
        </is>
      </c>
    </row>
    <row r="71">
      <c r="A71" t="inlineStr" s="5">
        <is>
          <t>Pokemon</t>
        </is>
      </c>
      <c r="B71" t="inlineStr" s="6">
        <is>
          <t>Cubone (Ace)</t>
        </is>
      </c>
      <c r="C71" t="inlineStr" s="6">
        <is>
          <t>Mankey</t>
        </is>
      </c>
      <c r="D71" t="inlineStr" s="6">
        <is>
          <t>Teddiursa</t>
        </is>
      </c>
      <c r="E71" t="inlineStr" s="6">
        <is>
          <t/>
        </is>
      </c>
      <c r="F71" t="inlineStr" s="6">
        <is>
          <t/>
        </is>
      </c>
      <c r="G71" t="inlineStr" s="6">
        <is>
          <t/>
        </is>
      </c>
      <c r="H71" t="inlineStr" s="6">
        <is>
          <t>Items: None</t>
        </is>
      </c>
    </row>
    <row r="72">
      <c r="A72" t="inlineStr" s="5">
        <is>
          <t>Level</t>
        </is>
      </c>
      <c r="B72" t="inlineStr" s="6">
        <is>
          <t>Lv. 8</t>
        </is>
      </c>
      <c r="C72" t="inlineStr" s="6">
        <is>
          <t>Lv. 7</t>
        </is>
      </c>
      <c r="D72" t="inlineStr" s="6">
        <is>
          <t>Lv. 6</t>
        </is>
      </c>
      <c r="E72" t="inlineStr" s="6">
        <is>
          <t/>
        </is>
      </c>
      <c r="F72" t="inlineStr" s="6">
        <is>
          <t/>
        </is>
      </c>
      <c r="G72" t="inlineStr" s="6">
        <is>
          <t/>
        </is>
      </c>
      <c r="H72" t="inlineStr" s="6">
        <is>
          <t>Team size: 3</t>
        </is>
      </c>
    </row>
    <row r="73">
      <c r="A73" t="inlineStr" s="5">
        <is>
          <t>Held Item</t>
        </is>
      </c>
      <c r="B73" t="inlineStr" s="6">
        <is>
          <t/>
        </is>
      </c>
      <c r="C73" t="inlineStr" s="6">
        <is>
          <t/>
        </is>
      </c>
      <c r="D73" t="inlineStr" s="6">
        <is>
          <t/>
        </is>
      </c>
      <c r="E73" t="inlineStr" s="6">
        <is>
          <t/>
        </is>
      </c>
      <c r="F73" t="inlineStr" s="6">
        <is>
          <t/>
        </is>
      </c>
      <c r="G73" t="inlineStr" s="6">
        <is>
          <t/>
        </is>
      </c>
      <c r="H73" t="inlineStr" s="6">
        <is>
          <t/>
        </is>
      </c>
    </row>
    <row r="74">
      <c r="A74" t="inlineStr" s="5">
        <is>
          <t>Move One</t>
        </is>
      </c>
      <c r="B74" t="inlineStr" s="6">
        <is>
          <t>Growl</t>
        </is>
      </c>
      <c r="C74" t="inlineStr" s="6">
        <is>
          <t>Leer</t>
        </is>
      </c>
      <c r="D74" t="inlineStr" s="6">
        <is>
          <t>Lick</t>
        </is>
      </c>
      <c r="E74" t="inlineStr" s="6">
        <is>
          <t/>
        </is>
      </c>
      <c r="F74" t="inlineStr" s="6">
        <is>
          <t/>
        </is>
      </c>
      <c r="G74" t="inlineStr" s="6">
        <is>
          <t/>
        </is>
      </c>
      <c r="H74" t="inlineStr" s="6">
        <is>
          <t/>
        </is>
      </c>
    </row>
    <row r="75">
      <c r="A75" t="inlineStr" s="5">
        <is>
          <t>Move Two</t>
        </is>
      </c>
      <c r="B75" t="inlineStr" s="6">
        <is>
          <t>Mud Slap</t>
        </is>
      </c>
      <c r="C75" t="inlineStr" s="6">
        <is>
          <t>Focus Energy</t>
        </is>
      </c>
      <c r="D75" t="inlineStr" s="6">
        <is>
          <t>Covet</t>
        </is>
      </c>
      <c r="E75" t="inlineStr" s="6">
        <is>
          <t/>
        </is>
      </c>
      <c r="F75" t="inlineStr" s="6">
        <is>
          <t/>
        </is>
      </c>
      <c r="G75" t="inlineStr" s="6">
        <is>
          <t/>
        </is>
      </c>
      <c r="H75" t="inlineStr" s="6">
        <is>
          <t/>
        </is>
      </c>
    </row>
    <row r="76">
      <c r="A76" t="inlineStr" s="5">
        <is>
          <t>Move Three</t>
        </is>
      </c>
      <c r="B76" t="inlineStr" s="6">
        <is>
          <t>Tail Whip</t>
        </is>
      </c>
      <c r="C76" t="inlineStr" s="6">
        <is>
          <t>Covet</t>
        </is>
      </c>
      <c r="D76" t="inlineStr" s="6">
        <is>
          <t>Fling</t>
        </is>
      </c>
      <c r="E76" t="inlineStr" s="6">
        <is>
          <t/>
        </is>
      </c>
      <c r="F76" t="inlineStr" s="6">
        <is>
          <t/>
        </is>
      </c>
      <c r="G76" t="inlineStr" s="6">
        <is>
          <t/>
        </is>
      </c>
      <c r="H76" t="inlineStr" s="6">
        <is>
          <t/>
        </is>
      </c>
    </row>
    <row r="77">
      <c r="A77" t="inlineStr" s="5">
        <is>
          <t>Move Four</t>
        </is>
      </c>
      <c r="B77" t="inlineStr" s="6">
        <is>
          <t>False Swipe</t>
        </is>
      </c>
      <c r="C77" t="inlineStr" s="6">
        <is>
          <t>Fury Swipes</t>
        </is>
      </c>
      <c r="D77" t="inlineStr" s="6">
        <is>
          <t>Baby Doll Eyes</t>
        </is>
      </c>
      <c r="E77" t="inlineStr" s="6">
        <is>
          <t/>
        </is>
      </c>
      <c r="F77" t="inlineStr" s="6">
        <is>
          <t/>
        </is>
      </c>
      <c r="G77" t="inlineStr" s="6">
        <is>
          <t/>
        </is>
      </c>
      <c r="H77" t="inlineStr" s="6">
        <is>
          <t/>
        </is>
      </c>
    </row>
    <row r="78">
      <c r="A78" t="inlineStr" s="5">
        <is>
          <t>Source</t>
        </is>
      </c>
      <c r="B78" t="inlineStr" s="7">
        <is>
          <t>learnset &lt;= L8</t>
        </is>
      </c>
      <c r="C78" t="inlineStr" s="7">
        <is>
          <t>learnset &lt;= L7</t>
        </is>
      </c>
      <c r="D78" t="inlineStr" s="7">
        <is>
          <t>learnset &lt;= L6</t>
        </is>
      </c>
      <c r="E78" t="inlineStr" s="7">
        <is>
          <t/>
        </is>
      </c>
      <c r="F78" t="inlineStr" s="7">
        <is>
          <t/>
        </is>
      </c>
      <c r="G78" t="inlineStr" s="7">
        <is>
          <t/>
        </is>
      </c>
      <c r="H78" t="inlineStr" s="7">
        <is>
          <t/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 ht="24" customHeight="1">
      <c r="A80" t="inlineStr" s="4">
        <is>
          <t>ID 14 | Ace Trainer - Michelle</t>
        </is>
      </c>
      <c r="B80" t="inlineStr" s="4">
        <is>
          <t>Pokemon 1</t>
        </is>
      </c>
      <c r="C80" t="inlineStr" s="4">
        <is>
          <t>Pokemon 2</t>
        </is>
      </c>
      <c r="D80" t="inlineStr" s="4">
        <is>
          <t>Pokemon 3</t>
        </is>
      </c>
      <c r="E80" t="inlineStr" s="4">
        <is>
          <t>Pokemon 4</t>
        </is>
      </c>
      <c r="F80" t="inlineStr" s="4">
        <is>
          <t>Pokemon 5</t>
        </is>
      </c>
      <c r="G80" t="inlineStr" s="4">
        <is>
          <t>Pokemon 6</t>
        </is>
      </c>
      <c r="H80" t="inlineStr" s="4">
        <is>
          <t>Route 3, lato post-grotta | Double Battle</t>
        </is>
      </c>
    </row>
    <row r="81" ht="64" customHeight="1">
      <c r="A81" t="inlineStr" s="6">
        <is>
          <t/>
        </is>
      </c>
      <c r="B81" s="6">
        <f>IMAGE("https://img.pokemondb.net/sprites/home/normal/spinda.png")</f>
      </c>
      <c r="C81" s="6">
        <f>IMAGE("https://img.pokemondb.net/sprites/home/normal/spinda.png")</f>
      </c>
      <c r="D81" s="6">
        <f>IMAGE("https://img.pokemondb.net/sprites/home/normal/munchlax.png")</f>
      </c>
      <c r="E81" t="inlineStr" s="6">
        <is>
          <t/>
        </is>
      </c>
      <c r="F81" t="inlineStr" s="6">
        <is>
          <t/>
        </is>
      </c>
      <c r="G81" t="inlineStr" s="6">
        <is>
          <t/>
        </is>
      </c>
      <c r="H81" t="inlineStr" s="6">
        <is>
          <t/>
        </is>
      </c>
    </row>
    <row r="82">
      <c r="A82" t="inlineStr" s="5">
        <is>
          <t>Pokemon</t>
        </is>
      </c>
      <c r="B82" t="inlineStr" s="6">
        <is>
          <t>Spinda</t>
        </is>
      </c>
      <c r="C82" t="inlineStr" s="6">
        <is>
          <t>Spinda</t>
        </is>
      </c>
      <c r="D82" t="inlineStr" s="6">
        <is>
          <t>Munchlax (Ace)</t>
        </is>
      </c>
      <c r="E82" t="inlineStr" s="6">
        <is>
          <t/>
        </is>
      </c>
      <c r="F82" t="inlineStr" s="6">
        <is>
          <t/>
        </is>
      </c>
      <c r="G82" t="inlineStr" s="6">
        <is>
          <t/>
        </is>
      </c>
      <c r="H82" t="inlineStr" s="6">
        <is>
          <t>Items: None</t>
        </is>
      </c>
    </row>
    <row r="83">
      <c r="A83" t="inlineStr" s="5">
        <is>
          <t>Level</t>
        </is>
      </c>
      <c r="B83" t="inlineStr" s="6">
        <is>
          <t>Lv. 12</t>
        </is>
      </c>
      <c r="C83" t="inlineStr" s="6">
        <is>
          <t>Lv. 11</t>
        </is>
      </c>
      <c r="D83" t="inlineStr" s="6">
        <is>
          <t>Lv. 14</t>
        </is>
      </c>
      <c r="E83" t="inlineStr" s="6">
        <is>
          <t/>
        </is>
      </c>
      <c r="F83" t="inlineStr" s="6">
        <is>
          <t/>
        </is>
      </c>
      <c r="G83" t="inlineStr" s="6">
        <is>
          <t/>
        </is>
      </c>
      <c r="H83" t="inlineStr" s="6">
        <is>
          <t>Team size: 3</t>
        </is>
      </c>
    </row>
    <row r="84">
      <c r="A84" t="inlineStr" s="5">
        <is>
          <t>Held Item</t>
        </is>
      </c>
      <c r="B84" t="inlineStr" s="6">
        <is>
          <t/>
        </is>
      </c>
      <c r="C84" t="inlineStr" s="6">
        <is>
          <t/>
        </is>
      </c>
      <c r="D84" t="inlineStr" s="6">
        <is>
          <t/>
        </is>
      </c>
      <c r="E84" t="inlineStr" s="6">
        <is>
          <t/>
        </is>
      </c>
      <c r="F84" t="inlineStr" s="6">
        <is>
          <t/>
        </is>
      </c>
      <c r="G84" t="inlineStr" s="6">
        <is>
          <t/>
        </is>
      </c>
      <c r="H84" t="inlineStr" s="6">
        <is>
          <t/>
        </is>
      </c>
    </row>
    <row r="85">
      <c r="A85" t="inlineStr" s="5">
        <is>
          <t>Move One</t>
        </is>
      </c>
      <c r="B85" t="inlineStr" s="6">
        <is>
          <t>Tackle</t>
        </is>
      </c>
      <c r="C85" t="inlineStr" s="6">
        <is>
          <t>Tackle</t>
        </is>
      </c>
      <c r="D85" t="inlineStr" s="6">
        <is>
          <t>Lick</t>
        </is>
      </c>
      <c r="E85" t="inlineStr" s="6">
        <is>
          <t/>
        </is>
      </c>
      <c r="F85" t="inlineStr" s="6">
        <is>
          <t/>
        </is>
      </c>
      <c r="G85" t="inlineStr" s="6">
        <is>
          <t/>
        </is>
      </c>
      <c r="H85" t="inlineStr" s="6">
        <is>
          <t/>
        </is>
      </c>
    </row>
    <row r="86">
      <c r="A86" t="inlineStr" s="5">
        <is>
          <t>Move Two</t>
        </is>
      </c>
      <c r="B86" t="inlineStr" s="6">
        <is>
          <t>Copycat</t>
        </is>
      </c>
      <c r="C86" t="inlineStr" s="6">
        <is>
          <t>Copycat</t>
        </is>
      </c>
      <c r="D86" t="inlineStr" s="6">
        <is>
          <t>Defense Curl</t>
        </is>
      </c>
      <c r="E86" t="inlineStr" s="6">
        <is>
          <t/>
        </is>
      </c>
      <c r="F86" t="inlineStr" s="6">
        <is>
          <t/>
        </is>
      </c>
      <c r="G86" t="inlineStr" s="6">
        <is>
          <t/>
        </is>
      </c>
      <c r="H86" t="inlineStr" s="6">
        <is>
          <t/>
        </is>
      </c>
    </row>
    <row r="87">
      <c r="A87" t="inlineStr" s="5">
        <is>
          <t>Move Three</t>
        </is>
      </c>
      <c r="B87" t="inlineStr" s="6">
        <is>
          <t>Teeter Dance</t>
        </is>
      </c>
      <c r="C87" t="inlineStr" s="6">
        <is>
          <t>Teeter Dance</t>
        </is>
      </c>
      <c r="D87" t="inlineStr" s="6">
        <is>
          <t>Recycle</t>
        </is>
      </c>
      <c r="E87" t="inlineStr" s="6">
        <is>
          <t/>
        </is>
      </c>
      <c r="F87" t="inlineStr" s="6">
        <is>
          <t/>
        </is>
      </c>
      <c r="G87" t="inlineStr" s="6">
        <is>
          <t/>
        </is>
      </c>
      <c r="H87" t="inlineStr" s="6">
        <is>
          <t/>
        </is>
      </c>
    </row>
    <row r="88">
      <c r="A88" t="inlineStr" s="5">
        <is>
          <t>Move Four</t>
        </is>
      </c>
      <c r="B88" t="inlineStr" s="6">
        <is>
          <t/>
        </is>
      </c>
      <c r="C88" t="inlineStr" s="6">
        <is>
          <t/>
        </is>
      </c>
      <c r="D88" t="inlineStr" s="6">
        <is>
          <t>Covet</t>
        </is>
      </c>
      <c r="E88" t="inlineStr" s="6">
        <is>
          <t/>
        </is>
      </c>
      <c r="F88" t="inlineStr" s="6">
        <is>
          <t/>
        </is>
      </c>
      <c r="G88" t="inlineStr" s="6">
        <is>
          <t/>
        </is>
      </c>
      <c r="H88" t="inlineStr" s="6">
        <is>
          <t/>
        </is>
      </c>
    </row>
    <row r="89">
      <c r="A89" t="inlineStr" s="5">
        <is>
          <t>Source</t>
        </is>
      </c>
      <c r="B89" t="inlineStr" s="7">
        <is>
          <t>learnset &lt;= L12</t>
        </is>
      </c>
      <c r="C89" t="inlineStr" s="7">
        <is>
          <t>learnset &lt;= L11</t>
        </is>
      </c>
      <c r="D89" t="inlineStr" s="7">
        <is>
          <t>learnset &lt;= L14</t>
        </is>
      </c>
      <c r="E89" t="inlineStr" s="7">
        <is>
          <t/>
        </is>
      </c>
      <c r="F89" t="inlineStr" s="7">
        <is>
          <t/>
        </is>
      </c>
      <c r="G89" t="inlineStr" s="7">
        <is>
          <t/>
        </is>
      </c>
      <c r="H89" t="inlineStr" s="7">
        <is>
          <t/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 ht="24" customHeight="1">
      <c r="A91" t="inlineStr" s="4">
        <is>
          <t>ID 15 | Beauty - Belle</t>
        </is>
      </c>
      <c r="B91" t="inlineStr" s="4">
        <is>
          <t>Pokemon 1</t>
        </is>
      </c>
      <c r="C91" t="inlineStr" s="4">
        <is>
          <t>Pokemon 2</t>
        </is>
      </c>
      <c r="D91" t="inlineStr" s="4">
        <is>
          <t>Pokemon 3</t>
        </is>
      </c>
      <c r="E91" t="inlineStr" s="4">
        <is>
          <t>Pokemon 4</t>
        </is>
      </c>
      <c r="F91" t="inlineStr" s="4">
        <is>
          <t>Pokemon 5</t>
        </is>
      </c>
      <c r="G91" t="inlineStr" s="4">
        <is>
          <t>Pokemon 6</t>
        </is>
      </c>
      <c r="H91" t="inlineStr" s="4">
        <is>
          <t>Route 3, lato post-grotta | Double Battle</t>
        </is>
      </c>
    </row>
    <row r="92" ht="64" customHeight="1">
      <c r="A92" t="inlineStr" s="6">
        <is>
          <t/>
        </is>
      </c>
      <c r="B92" s="6">
        <f>IMAGE("https://img.pokemondb.net/sprites/home/normal/shinx.png")</f>
      </c>
      <c r="C92" s="6">
        <f>IMAGE("https://img.pokemondb.net/sprites/home/normal/jigglypuff.png")</f>
      </c>
      <c r="D92" s="6">
        <f>IMAGE("https://img.pokemondb.net/sprites/home/normal/seedot.png")</f>
      </c>
      <c r="E92" t="inlineStr" s="6">
        <is>
          <t/>
        </is>
      </c>
      <c r="F92" t="inlineStr" s="6">
        <is>
          <t/>
        </is>
      </c>
      <c r="G92" t="inlineStr" s="6">
        <is>
          <t/>
        </is>
      </c>
      <c r="H92" t="inlineStr" s="6">
        <is>
          <t/>
        </is>
      </c>
    </row>
    <row r="93">
      <c r="A93" t="inlineStr" s="5">
        <is>
          <t>Pokemon</t>
        </is>
      </c>
      <c r="B93" t="inlineStr" s="6">
        <is>
          <t>Shinx (Ace)</t>
        </is>
      </c>
      <c r="C93" t="inlineStr" s="6">
        <is>
          <t>Jigglypuff</t>
        </is>
      </c>
      <c r="D93" t="inlineStr" s="6">
        <is>
          <t>Seedot</t>
        </is>
      </c>
      <c r="E93" t="inlineStr" s="6">
        <is>
          <t/>
        </is>
      </c>
      <c r="F93" t="inlineStr" s="6">
        <is>
          <t/>
        </is>
      </c>
      <c r="G93" t="inlineStr" s="6">
        <is>
          <t/>
        </is>
      </c>
      <c r="H93" t="inlineStr" s="6">
        <is>
          <t>Items: None</t>
        </is>
      </c>
    </row>
    <row r="94">
      <c r="A94" t="inlineStr" s="5">
        <is>
          <t>Level</t>
        </is>
      </c>
      <c r="B94" t="inlineStr" s="6">
        <is>
          <t>Lv. 15</t>
        </is>
      </c>
      <c r="C94" t="inlineStr" s="6">
        <is>
          <t>Lv. 11</t>
        </is>
      </c>
      <c r="D94" t="inlineStr" s="6">
        <is>
          <t>Lv. 12</t>
        </is>
      </c>
      <c r="E94" t="inlineStr" s="6">
        <is>
          <t/>
        </is>
      </c>
      <c r="F94" t="inlineStr" s="6">
        <is>
          <t/>
        </is>
      </c>
      <c r="G94" t="inlineStr" s="6">
        <is>
          <t/>
        </is>
      </c>
      <c r="H94" t="inlineStr" s="6">
        <is>
          <t>Team size: 3</t>
        </is>
      </c>
    </row>
    <row r="95">
      <c r="A95" t="inlineStr" s="5">
        <is>
          <t>Held Item</t>
        </is>
      </c>
      <c r="B95" t="inlineStr" s="6">
        <is>
          <t/>
        </is>
      </c>
      <c r="C95" t="inlineStr" s="6">
        <is>
          <t/>
        </is>
      </c>
      <c r="D95" t="inlineStr" s="6">
        <is>
          <t/>
        </is>
      </c>
      <c r="E95" t="inlineStr" s="6">
        <is>
          <t/>
        </is>
      </c>
      <c r="F95" t="inlineStr" s="6">
        <is>
          <t/>
        </is>
      </c>
      <c r="G95" t="inlineStr" s="6">
        <is>
          <t/>
        </is>
      </c>
      <c r="H95" t="inlineStr" s="6">
        <is>
          <t/>
        </is>
      </c>
    </row>
    <row r="96">
      <c r="A96" t="inlineStr" s="5">
        <is>
          <t>Move One</t>
        </is>
      </c>
      <c r="B96" t="inlineStr" s="6">
        <is>
          <t>Leer</t>
        </is>
      </c>
      <c r="C96" t="inlineStr" s="6">
        <is>
          <t>Disable</t>
        </is>
      </c>
      <c r="D96" t="inlineStr" s="6">
        <is>
          <t>Absorb</t>
        </is>
      </c>
      <c r="E96" t="inlineStr" s="6">
        <is>
          <t/>
        </is>
      </c>
      <c r="F96" t="inlineStr" s="6">
        <is>
          <t/>
        </is>
      </c>
      <c r="G96" t="inlineStr" s="6">
        <is>
          <t/>
        </is>
      </c>
      <c r="H96" t="inlineStr" s="6">
        <is>
          <t/>
        </is>
      </c>
    </row>
    <row r="97">
      <c r="A97" t="inlineStr" s="5">
        <is>
          <t>Move Two</t>
        </is>
      </c>
      <c r="B97" t="inlineStr" s="6">
        <is>
          <t>Thunder Shock</t>
        </is>
      </c>
      <c r="C97" t="inlineStr" s="6">
        <is>
          <t>Pound</t>
        </is>
      </c>
      <c r="D97" t="inlineStr" s="6">
        <is>
          <t>Astonish</t>
        </is>
      </c>
      <c r="E97" t="inlineStr" s="6">
        <is>
          <t/>
        </is>
      </c>
      <c r="F97" t="inlineStr" s="6">
        <is>
          <t/>
        </is>
      </c>
      <c r="G97" t="inlineStr" s="6">
        <is>
          <t/>
        </is>
      </c>
      <c r="H97" t="inlineStr" s="6">
        <is>
          <t/>
        </is>
      </c>
    </row>
    <row r="98">
      <c r="A98" t="inlineStr" s="5">
        <is>
          <t>Move Three</t>
        </is>
      </c>
      <c r="B98" t="inlineStr" s="6">
        <is>
          <t>Charge</t>
        </is>
      </c>
      <c r="C98" t="inlineStr" s="6">
        <is>
          <t>Echoed Voice</t>
        </is>
      </c>
      <c r="D98" t="inlineStr" s="6">
        <is>
          <t>Growth</t>
        </is>
      </c>
      <c r="E98" t="inlineStr" s="6">
        <is>
          <t/>
        </is>
      </c>
      <c r="F98" t="inlineStr" s="6">
        <is>
          <t/>
        </is>
      </c>
      <c r="G98" t="inlineStr" s="6">
        <is>
          <t/>
        </is>
      </c>
      <c r="H98" t="inlineStr" s="6">
        <is>
          <t/>
        </is>
      </c>
    </row>
    <row r="99">
      <c r="A99" t="inlineStr" s="5">
        <is>
          <t>Move Four</t>
        </is>
      </c>
      <c r="B99" t="inlineStr" s="6">
        <is>
          <t>Bite</t>
        </is>
      </c>
      <c r="C99" t="inlineStr" s="6">
        <is>
          <t>Covet</t>
        </is>
      </c>
      <c r="D99" t="inlineStr" s="6">
        <is>
          <t>Rollout</t>
        </is>
      </c>
      <c r="E99" t="inlineStr" s="6">
        <is>
          <t/>
        </is>
      </c>
      <c r="F99" t="inlineStr" s="6">
        <is>
          <t/>
        </is>
      </c>
      <c r="G99" t="inlineStr" s="6">
        <is>
          <t/>
        </is>
      </c>
      <c r="H99" t="inlineStr" s="6">
        <is>
          <t/>
        </is>
      </c>
    </row>
    <row r="100">
      <c r="A100" t="inlineStr" s="5">
        <is>
          <t>Source</t>
        </is>
      </c>
      <c r="B100" t="inlineStr" s="7">
        <is>
          <t>learnset &lt;= L15</t>
        </is>
      </c>
      <c r="C100" t="inlineStr" s="7">
        <is>
          <t>learnset &lt;= L11</t>
        </is>
      </c>
      <c r="D100" t="inlineStr" s="7">
        <is>
          <t>learnset &lt;= L12</t>
        </is>
      </c>
      <c r="E100" t="inlineStr" s="7">
        <is>
          <t/>
        </is>
      </c>
      <c r="F100" t="inlineStr" s="7">
        <is>
          <t/>
        </is>
      </c>
      <c r="G100" t="inlineStr" s="7">
        <is>
          <t/>
        </is>
      </c>
      <c r="H100" t="inlineStr" s="7">
        <is>
          <t/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 ht="24" customHeight="1">
      <c r="A102" t="inlineStr" s="4">
        <is>
          <t>ID 16 | Black Belt - Simon</t>
        </is>
      </c>
      <c r="B102" t="inlineStr" s="4">
        <is>
          <t>Pokemon 1</t>
        </is>
      </c>
      <c r="C102" t="inlineStr" s="4">
        <is>
          <t>Pokemon 2</t>
        </is>
      </c>
      <c r="D102" t="inlineStr" s="4">
        <is>
          <t>Pokemon 3</t>
        </is>
      </c>
      <c r="E102" t="inlineStr" s="4">
        <is>
          <t>Pokemon 4</t>
        </is>
      </c>
      <c r="F102" t="inlineStr" s="4">
        <is>
          <t>Pokemon 5</t>
        </is>
      </c>
      <c r="G102" t="inlineStr" s="4">
        <is>
          <t>Pokemon 6</t>
        </is>
      </c>
      <c r="H102" t="inlineStr" s="4">
        <is>
          <t>Route 3, lato post-grotta | Double Battle</t>
        </is>
      </c>
    </row>
    <row r="103" ht="64" customHeight="1">
      <c r="A103" t="inlineStr" s="6">
        <is>
          <t/>
        </is>
      </c>
      <c r="B103" s="6">
        <f>IMAGE("https://img.pokemondb.net/sprites/home/normal/riolu.png")</f>
      </c>
      <c r="C103" s="6">
        <f>IMAGE("https://img.pokemondb.net/sprites/home/normal/machop.png")</f>
      </c>
      <c r="D103" s="6">
        <f>IMAGE("https://img.pokemondb.net/sprites/home/normal/chimchar.png")</f>
      </c>
      <c r="E103" t="inlineStr" s="6">
        <is>
          <t/>
        </is>
      </c>
      <c r="F103" t="inlineStr" s="6">
        <is>
          <t/>
        </is>
      </c>
      <c r="G103" t="inlineStr" s="6">
        <is>
          <t/>
        </is>
      </c>
      <c r="H103" t="inlineStr" s="6">
        <is>
          <t/>
        </is>
      </c>
    </row>
    <row r="104">
      <c r="A104" t="inlineStr" s="5">
        <is>
          <t>Pokemon</t>
        </is>
      </c>
      <c r="B104" t="inlineStr" s="6">
        <is>
          <t>Riolu (Ace)</t>
        </is>
      </c>
      <c r="C104" t="inlineStr" s="6">
        <is>
          <t>Machop</t>
        </is>
      </c>
      <c r="D104" t="inlineStr" s="6">
        <is>
          <t>Chimchar</t>
        </is>
      </c>
      <c r="E104" t="inlineStr" s="6">
        <is>
          <t/>
        </is>
      </c>
      <c r="F104" t="inlineStr" s="6">
        <is>
          <t/>
        </is>
      </c>
      <c r="G104" t="inlineStr" s="6">
        <is>
          <t/>
        </is>
      </c>
      <c r="H104" t="inlineStr" s="6">
        <is>
          <t>Items: None</t>
        </is>
      </c>
    </row>
    <row r="105">
      <c r="A105" t="inlineStr" s="5">
        <is>
          <t>Level</t>
        </is>
      </c>
      <c r="B105" t="inlineStr" s="6">
        <is>
          <t>Lv. 14</t>
        </is>
      </c>
      <c r="C105" t="inlineStr" s="6">
        <is>
          <t>Lv. 11</t>
        </is>
      </c>
      <c r="D105" t="inlineStr" s="6">
        <is>
          <t>Lv. 11</t>
        </is>
      </c>
      <c r="E105" t="inlineStr" s="6">
        <is>
          <t/>
        </is>
      </c>
      <c r="F105" t="inlineStr" s="6">
        <is>
          <t/>
        </is>
      </c>
      <c r="G105" t="inlineStr" s="6">
        <is>
          <t/>
        </is>
      </c>
      <c r="H105" t="inlineStr" s="6">
        <is>
          <t>Team size: 3</t>
        </is>
      </c>
    </row>
    <row r="106">
      <c r="A106" t="inlineStr" s="5">
        <is>
          <t>Held Item</t>
        </is>
      </c>
      <c r="B106" t="inlineStr" s="6">
        <is>
          <t/>
        </is>
      </c>
      <c r="C106" t="inlineStr" s="6">
        <is>
          <t/>
        </is>
      </c>
      <c r="D106" t="inlineStr" s="6">
        <is>
          <t/>
        </is>
      </c>
      <c r="E106" t="inlineStr" s="6">
        <is>
          <t/>
        </is>
      </c>
      <c r="F106" t="inlineStr" s="6">
        <is>
          <t/>
        </is>
      </c>
      <c r="G106" t="inlineStr" s="6">
        <is>
          <t/>
        </is>
      </c>
      <c r="H106" t="inlineStr" s="6">
        <is>
          <t/>
        </is>
      </c>
    </row>
    <row r="107">
      <c r="A107" t="inlineStr" s="5">
        <is>
          <t>Move One</t>
        </is>
      </c>
      <c r="B107" t="inlineStr" s="6">
        <is>
          <t>Endure</t>
        </is>
      </c>
      <c r="C107" t="inlineStr" s="6">
        <is>
          <t>Leer</t>
        </is>
      </c>
      <c r="D107" t="inlineStr" s="6">
        <is>
          <t>Scratch</t>
        </is>
      </c>
      <c r="E107" t="inlineStr" s="6">
        <is>
          <t/>
        </is>
      </c>
      <c r="F107" t="inlineStr" s="6">
        <is>
          <t/>
        </is>
      </c>
      <c r="G107" t="inlineStr" s="6">
        <is>
          <t/>
        </is>
      </c>
      <c r="H107" t="inlineStr" s="6">
        <is>
          <t/>
        </is>
      </c>
    </row>
    <row r="108">
      <c r="A108" t="inlineStr" s="5">
        <is>
          <t>Move Two</t>
        </is>
      </c>
      <c r="B108" t="inlineStr" s="6">
        <is>
          <t>Feint</t>
        </is>
      </c>
      <c r="C108" t="inlineStr" s="6">
        <is>
          <t>Low Kick</t>
        </is>
      </c>
      <c r="D108" t="inlineStr" s="6">
        <is>
          <t>Leer</t>
        </is>
      </c>
      <c r="E108" t="inlineStr" s="6">
        <is>
          <t/>
        </is>
      </c>
      <c r="F108" t="inlineStr" s="6">
        <is>
          <t/>
        </is>
      </c>
      <c r="G108" t="inlineStr" s="6">
        <is>
          <t/>
        </is>
      </c>
      <c r="H108" t="inlineStr" s="6">
        <is>
          <t/>
        </is>
      </c>
    </row>
    <row r="109">
      <c r="A109" t="inlineStr" s="5">
        <is>
          <t>Move Three</t>
        </is>
      </c>
      <c r="B109" t="inlineStr" s="6">
        <is>
          <t>Metal Claw</t>
        </is>
      </c>
      <c r="C109" t="inlineStr" s="6">
        <is>
          <t>Focus Energy</t>
        </is>
      </c>
      <c r="D109" t="inlineStr" s="6">
        <is>
          <t>Ember</t>
        </is>
      </c>
      <c r="E109" t="inlineStr" s="6">
        <is>
          <t/>
        </is>
      </c>
      <c r="F109" t="inlineStr" s="6">
        <is>
          <t/>
        </is>
      </c>
      <c r="G109" t="inlineStr" s="6">
        <is>
          <t/>
        </is>
      </c>
      <c r="H109" t="inlineStr" s="6">
        <is>
          <t/>
        </is>
      </c>
    </row>
    <row r="110">
      <c r="A110" t="inlineStr" s="5">
        <is>
          <t>Move Four</t>
        </is>
      </c>
      <c r="B110" t="inlineStr" s="6">
        <is>
          <t>Counter</t>
        </is>
      </c>
      <c r="C110" t="inlineStr" s="6">
        <is>
          <t>Revenge</t>
        </is>
      </c>
      <c r="D110" t="inlineStr" s="6">
        <is>
          <t>Taunt</t>
        </is>
      </c>
      <c r="E110" t="inlineStr" s="6">
        <is>
          <t/>
        </is>
      </c>
      <c r="F110" t="inlineStr" s="6">
        <is>
          <t/>
        </is>
      </c>
      <c r="G110" t="inlineStr" s="6">
        <is>
          <t/>
        </is>
      </c>
      <c r="H110" t="inlineStr" s="6">
        <is>
          <t/>
        </is>
      </c>
    </row>
    <row r="111">
      <c r="A111" t="inlineStr" s="5">
        <is>
          <t>Source</t>
        </is>
      </c>
      <c r="B111" t="inlineStr" s="7">
        <is>
          <t>learnset &lt;= L14</t>
        </is>
      </c>
      <c r="C111" t="inlineStr" s="7">
        <is>
          <t>learnset &lt;= L11</t>
        </is>
      </c>
      <c r="D111" t="inlineStr" s="7">
        <is>
          <t>learnset &lt;= L11</t>
        </is>
      </c>
      <c r="E111" t="inlineStr" s="7">
        <is>
          <t/>
        </is>
      </c>
      <c r="F111" t="inlineStr" s="7">
        <is>
          <t/>
        </is>
      </c>
      <c r="G111" t="inlineStr" s="7">
        <is>
          <t/>
        </is>
      </c>
      <c r="H111" t="inlineStr" s="7">
        <is>
          <t/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 ht="24" customHeight="1">
      <c r="A113" t="inlineStr" s="4">
        <is>
          <t>ID 17 | Picnicker - Solana</t>
        </is>
      </c>
      <c r="B113" t="inlineStr" s="4">
        <is>
          <t>Pokemon 1</t>
        </is>
      </c>
      <c r="C113" t="inlineStr" s="4">
        <is>
          <t>Pokemon 2</t>
        </is>
      </c>
      <c r="D113" t="inlineStr" s="4">
        <is>
          <t>Pokemon 3</t>
        </is>
      </c>
      <c r="E113" t="inlineStr" s="4">
        <is>
          <t>Pokemon 4</t>
        </is>
      </c>
      <c r="F113" t="inlineStr" s="4">
        <is>
          <t>Pokemon 5</t>
        </is>
      </c>
      <c r="G113" t="inlineStr" s="4">
        <is>
          <t>Pokemon 6</t>
        </is>
      </c>
      <c r="H113" t="inlineStr" s="4">
        <is>
          <t>Route 3, lato post-grotta | Double Battle</t>
        </is>
      </c>
    </row>
    <row r="114" ht="64" customHeight="1">
      <c r="A114" t="inlineStr" s="6">
        <is>
          <t/>
        </is>
      </c>
      <c r="B114" s="6">
        <f>IMAGE("https://img.pokemondb.net/sprites/home/normal/ditto.png")</f>
      </c>
      <c r="C114" s="6">
        <f>IMAGE("https://img.pokemondb.net/sprites/home/normal/smoochum.png")</f>
      </c>
      <c r="D114" s="6">
        <f>IMAGE("https://img.pokemondb.net/sprites/home/normal/elekid.png")</f>
      </c>
      <c r="E114" s="6">
        <f>IMAGE("https://img.pokemondb.net/sprites/home/normal/magby.png")</f>
      </c>
      <c r="F114" s="6">
        <f>IMAGE("https://img.pokemondb.net/sprites/home/normal/phanpy.png")</f>
      </c>
      <c r="G114" t="inlineStr" s="6">
        <is>
          <t/>
        </is>
      </c>
      <c r="H114" t="inlineStr" s="6">
        <is>
          <t/>
        </is>
      </c>
    </row>
    <row r="115">
      <c r="A115" t="inlineStr" s="5">
        <is>
          <t>Pokemon</t>
        </is>
      </c>
      <c r="B115" t="inlineStr" s="6">
        <is>
          <t>Ditto</t>
        </is>
      </c>
      <c r="C115" t="inlineStr" s="6">
        <is>
          <t>Smoochum</t>
        </is>
      </c>
      <c r="D115" t="inlineStr" s="6">
        <is>
          <t>Elekid</t>
        </is>
      </c>
      <c r="E115" t="inlineStr" s="6">
        <is>
          <t>Magby</t>
        </is>
      </c>
      <c r="F115" t="inlineStr" s="6">
        <is>
          <t>Phanpy (Ace)</t>
        </is>
      </c>
      <c r="G115" t="inlineStr" s="6">
        <is>
          <t/>
        </is>
      </c>
      <c r="H115" t="inlineStr" s="6">
        <is>
          <t>Items: None</t>
        </is>
      </c>
    </row>
    <row r="116">
      <c r="A116" t="inlineStr" s="5">
        <is>
          <t>Level</t>
        </is>
      </c>
      <c r="B116" t="inlineStr" s="6">
        <is>
          <t>Lv. 12</t>
        </is>
      </c>
      <c r="C116" t="inlineStr" s="6">
        <is>
          <t>Lv. 11</t>
        </is>
      </c>
      <c r="D116" t="inlineStr" s="6">
        <is>
          <t>Lv. 11</t>
        </is>
      </c>
      <c r="E116" t="inlineStr" s="6">
        <is>
          <t>Lv. 11</t>
        </is>
      </c>
      <c r="F116" t="inlineStr" s="6">
        <is>
          <t>Lv. 13</t>
        </is>
      </c>
      <c r="G116" t="inlineStr" s="6">
        <is>
          <t/>
        </is>
      </c>
      <c r="H116" t="inlineStr" s="6">
        <is>
          <t>Team size: 5</t>
        </is>
      </c>
    </row>
    <row r="117">
      <c r="A117" t="inlineStr" s="5">
        <is>
          <t>Held Item</t>
        </is>
      </c>
      <c r="B117" t="inlineStr" s="6">
        <is>
          <t/>
        </is>
      </c>
      <c r="C117" t="inlineStr" s="6">
        <is>
          <t/>
        </is>
      </c>
      <c r="D117" t="inlineStr" s="6">
        <is>
          <t/>
        </is>
      </c>
      <c r="E117" t="inlineStr" s="6">
        <is>
          <t/>
        </is>
      </c>
      <c r="F117" t="inlineStr" s="6">
        <is>
          <t/>
        </is>
      </c>
      <c r="G117" t="inlineStr" s="6">
        <is>
          <t/>
        </is>
      </c>
      <c r="H117" t="inlineStr" s="6">
        <is>
          <t/>
        </is>
      </c>
    </row>
    <row r="118">
      <c r="A118" t="inlineStr" s="5">
        <is>
          <t>Move One</t>
        </is>
      </c>
      <c r="B118" t="inlineStr" s="6">
        <is>
          <t>Transform</t>
        </is>
      </c>
      <c r="C118" t="inlineStr" s="6">
        <is>
          <t>Lick</t>
        </is>
      </c>
      <c r="D118" t="inlineStr" s="6">
        <is>
          <t>Leer</t>
        </is>
      </c>
      <c r="E118" t="inlineStr" s="6">
        <is>
          <t>Leer</t>
        </is>
      </c>
      <c r="F118" t="inlineStr" s="6">
        <is>
          <t>Growl</t>
        </is>
      </c>
      <c r="G118" t="inlineStr" s="6">
        <is>
          <t/>
        </is>
      </c>
      <c r="H118" t="inlineStr" s="6">
        <is>
          <t/>
        </is>
      </c>
    </row>
    <row r="119">
      <c r="A119" t="inlineStr" s="5">
        <is>
          <t>Move Two</t>
        </is>
      </c>
      <c r="B119" t="inlineStr" s="6">
        <is>
          <t/>
        </is>
      </c>
      <c r="C119" t="inlineStr" s="6">
        <is>
          <t>Pound</t>
        </is>
      </c>
      <c r="D119" t="inlineStr" s="6">
        <is>
          <t>Quick Attack</t>
        </is>
      </c>
      <c r="E119" t="inlineStr" s="6">
        <is>
          <t>Smog</t>
        </is>
      </c>
      <c r="F119" t="inlineStr" s="6">
        <is>
          <t>Defense Curl</t>
        </is>
      </c>
      <c r="G119" t="inlineStr" s="6">
        <is>
          <t/>
        </is>
      </c>
      <c r="H119" t="inlineStr" s="6">
        <is>
          <t/>
        </is>
      </c>
    </row>
    <row r="120">
      <c r="A120" t="inlineStr" s="5">
        <is>
          <t>Move Three</t>
        </is>
      </c>
      <c r="B120" t="inlineStr" s="6">
        <is>
          <t/>
        </is>
      </c>
      <c r="C120" t="inlineStr" s="6">
        <is>
          <t>Powder Snow</t>
        </is>
      </c>
      <c r="D120" t="inlineStr" s="6">
        <is>
          <t>Thunder Shock</t>
        </is>
      </c>
      <c r="E120" t="inlineStr" s="6">
        <is>
          <t>Ember</t>
        </is>
      </c>
      <c r="F120" t="inlineStr" s="6">
        <is>
          <t>Flail</t>
        </is>
      </c>
      <c r="G120" t="inlineStr" s="6">
        <is>
          <t/>
        </is>
      </c>
      <c r="H120" t="inlineStr" s="6">
        <is>
          <t/>
        </is>
      </c>
    </row>
    <row r="121">
      <c r="A121" t="inlineStr" s="5">
        <is>
          <t>Move Four</t>
        </is>
      </c>
      <c r="B121" t="inlineStr" s="6">
        <is>
          <t/>
        </is>
      </c>
      <c r="C121" t="inlineStr" s="6">
        <is>
          <t>Copycat</t>
        </is>
      </c>
      <c r="D121" t="inlineStr" s="6">
        <is>
          <t>Charge</t>
        </is>
      </c>
      <c r="E121" t="inlineStr" s="6">
        <is>
          <t>Smokescreen</t>
        </is>
      </c>
      <c r="F121" t="inlineStr" s="6">
        <is>
          <t>Rollout</t>
        </is>
      </c>
      <c r="G121" t="inlineStr" s="6">
        <is>
          <t/>
        </is>
      </c>
      <c r="H121" t="inlineStr" s="6">
        <is>
          <t/>
        </is>
      </c>
    </row>
    <row r="122">
      <c r="A122" t="inlineStr" s="5">
        <is>
          <t>Source</t>
        </is>
      </c>
      <c r="B122" t="inlineStr" s="7">
        <is>
          <t>learnset &lt;= L12</t>
        </is>
      </c>
      <c r="C122" t="inlineStr" s="7">
        <is>
          <t>learnset &lt;= L11</t>
        </is>
      </c>
      <c r="D122" t="inlineStr" s="7">
        <is>
          <t>learnset &lt;= L11</t>
        </is>
      </c>
      <c r="E122" t="inlineStr" s="7">
        <is>
          <t>learnset &lt;= L11</t>
        </is>
      </c>
      <c r="F122" t="inlineStr" s="7">
        <is>
          <t>learnset &lt;= L13</t>
        </is>
      </c>
      <c r="G122" t="inlineStr" s="7">
        <is>
          <t/>
        </is>
      </c>
      <c r="H122" t="inlineStr" s="7">
        <is>
          <t/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 ht="24" customHeight="1">
      <c r="A124" t="inlineStr" s="4">
        <is>
          <t>ID 18 | Hiker - Justin</t>
        </is>
      </c>
      <c r="B124" t="inlineStr" s="4">
        <is>
          <t>Pokemon 1</t>
        </is>
      </c>
      <c r="C124" t="inlineStr" s="4">
        <is>
          <t>Pokemon 2</t>
        </is>
      </c>
      <c r="D124" t="inlineStr" s="4">
        <is>
          <t>Pokemon 3</t>
        </is>
      </c>
      <c r="E124" t="inlineStr" s="4">
        <is>
          <t>Pokemon 4</t>
        </is>
      </c>
      <c r="F124" t="inlineStr" s="4">
        <is>
          <t>Pokemon 5</t>
        </is>
      </c>
      <c r="G124" t="inlineStr" s="4">
        <is>
          <t>Pokemon 6</t>
        </is>
      </c>
      <c r="H124" t="inlineStr" s="4">
        <is>
          <t>Route 3, Ravaged Path | Double Battle</t>
        </is>
      </c>
    </row>
    <row r="125" ht="64" customHeight="1">
      <c r="A125" t="inlineStr" s="6">
        <is>
          <t/>
        </is>
      </c>
      <c r="B125" s="6">
        <f>IMAGE("https://img.pokemondb.net/sprites/home/normal/drilbur.png")</f>
      </c>
      <c r="C125" s="6">
        <f>IMAGE("https://img.pokemondb.net/sprites/home/normal/diglett.png")</f>
      </c>
      <c r="D125" s="6">
        <f>IMAGE("https://img.pokemondb.net/sprites/home/normal/diglett.png")</f>
      </c>
      <c r="E125" s="6">
        <f>IMAGE("https://img.pokemondb.net/sprites/home/normal/diglett.png")</f>
      </c>
      <c r="F125" t="inlineStr" s="6">
        <is>
          <t/>
        </is>
      </c>
      <c r="G125" t="inlineStr" s="6">
        <is>
          <t/>
        </is>
      </c>
      <c r="H125" t="inlineStr" s="6">
        <is>
          <t/>
        </is>
      </c>
    </row>
    <row r="126">
      <c r="A126" t="inlineStr" s="5">
        <is>
          <t>Pokemon</t>
        </is>
      </c>
      <c r="B126" t="inlineStr" s="6">
        <is>
          <t>Drilbur (Ace)</t>
        </is>
      </c>
      <c r="C126" t="inlineStr" s="6">
        <is>
          <t>Diglett</t>
        </is>
      </c>
      <c r="D126" t="inlineStr" s="6">
        <is>
          <t>Diglett</t>
        </is>
      </c>
      <c r="E126" t="inlineStr" s="6">
        <is>
          <t>Diglett</t>
        </is>
      </c>
      <c r="F126" t="inlineStr" s="6">
        <is>
          <t/>
        </is>
      </c>
      <c r="G126" t="inlineStr" s="6">
        <is>
          <t/>
        </is>
      </c>
      <c r="H126" t="inlineStr" s="6">
        <is>
          <t>Items: None</t>
        </is>
      </c>
    </row>
    <row r="127">
      <c r="A127" t="inlineStr" s="5">
        <is>
          <t>Level</t>
        </is>
      </c>
      <c r="B127" t="inlineStr" s="6">
        <is>
          <t>Lv. 12</t>
        </is>
      </c>
      <c r="C127" t="inlineStr" s="6">
        <is>
          <t>Lv. 8</t>
        </is>
      </c>
      <c r="D127" t="inlineStr" s="6">
        <is>
          <t>Lv. 8</t>
        </is>
      </c>
      <c r="E127" t="inlineStr" s="6">
        <is>
          <t>Lv. 8</t>
        </is>
      </c>
      <c r="F127" t="inlineStr" s="6">
        <is>
          <t/>
        </is>
      </c>
      <c r="G127" t="inlineStr" s="6">
        <is>
          <t/>
        </is>
      </c>
      <c r="H127" t="inlineStr" s="6">
        <is>
          <t>Team size: 4</t>
        </is>
      </c>
    </row>
    <row r="128">
      <c r="A128" t="inlineStr" s="5">
        <is>
          <t>Held Item</t>
        </is>
      </c>
      <c r="B128" t="inlineStr" s="6">
        <is>
          <t/>
        </is>
      </c>
      <c r="C128" t="inlineStr" s="6">
        <is>
          <t/>
        </is>
      </c>
      <c r="D128" t="inlineStr" s="6">
        <is>
          <t/>
        </is>
      </c>
      <c r="E128" t="inlineStr" s="6">
        <is>
          <t/>
        </is>
      </c>
      <c r="F128" t="inlineStr" s="6">
        <is>
          <t/>
        </is>
      </c>
      <c r="G128" t="inlineStr" s="6">
        <is>
          <t/>
        </is>
      </c>
      <c r="H128" t="inlineStr" s="6">
        <is>
          <t/>
        </is>
      </c>
    </row>
    <row r="129">
      <c r="A129" t="inlineStr" s="5">
        <is>
          <t>Move One</t>
        </is>
      </c>
      <c r="B129" t="inlineStr" s="6">
        <is>
          <t>Rapid Spin</t>
        </is>
      </c>
      <c r="C129" t="inlineStr" s="6">
        <is>
          <t>Scratch</t>
        </is>
      </c>
      <c r="D129" t="inlineStr" s="6">
        <is>
          <t>Scratch</t>
        </is>
      </c>
      <c r="E129" t="inlineStr" s="6">
        <is>
          <t>Scratch</t>
        </is>
      </c>
      <c r="F129" t="inlineStr" s="6">
        <is>
          <t/>
        </is>
      </c>
      <c r="G129" t="inlineStr" s="6">
        <is>
          <t/>
        </is>
      </c>
      <c r="H129" t="inlineStr" s="6">
        <is>
          <t/>
        </is>
      </c>
    </row>
    <row r="130">
      <c r="A130" t="inlineStr" s="5">
        <is>
          <t>Move Two</t>
        </is>
      </c>
      <c r="B130" t="inlineStr" s="6">
        <is>
          <t>Scratch</t>
        </is>
      </c>
      <c r="C130" t="inlineStr" s="6">
        <is>
          <t>Sand Attack</t>
        </is>
      </c>
      <c r="D130" t="inlineStr" s="6">
        <is>
          <t>Sand Attack</t>
        </is>
      </c>
      <c r="E130" t="inlineStr" s="6">
        <is>
          <t>Sand Attack</t>
        </is>
      </c>
      <c r="F130" t="inlineStr" s="6">
        <is>
          <t/>
        </is>
      </c>
      <c r="G130" t="inlineStr" s="6">
        <is>
          <t/>
        </is>
      </c>
      <c r="H130" t="inlineStr" s="6">
        <is>
          <t/>
        </is>
      </c>
    </row>
    <row r="131">
      <c r="A131" t="inlineStr" s="5">
        <is>
          <t>Move Three</t>
        </is>
      </c>
      <c r="B131" t="inlineStr" s="6">
        <is>
          <t>Hone Claws</t>
        </is>
      </c>
      <c r="C131" t="inlineStr" s="6">
        <is>
          <t>Growl</t>
        </is>
      </c>
      <c r="D131" t="inlineStr" s="6">
        <is>
          <t>Growl</t>
        </is>
      </c>
      <c r="E131" t="inlineStr" s="6">
        <is>
          <t>Growl</t>
        </is>
      </c>
      <c r="F131" t="inlineStr" s="6">
        <is>
          <t/>
        </is>
      </c>
      <c r="G131" t="inlineStr" s="6">
        <is>
          <t/>
        </is>
      </c>
      <c r="H131" t="inlineStr" s="6">
        <is>
          <t/>
        </is>
      </c>
    </row>
    <row r="132">
      <c r="A132" t="inlineStr" s="5">
        <is>
          <t>Move Four</t>
        </is>
      </c>
      <c r="B132" t="inlineStr" s="6">
        <is>
          <t>Fury Swipes</t>
        </is>
      </c>
      <c r="C132" t="inlineStr" s="6">
        <is>
          <t>Astonish</t>
        </is>
      </c>
      <c r="D132" t="inlineStr" s="6">
        <is>
          <t>Astonish</t>
        </is>
      </c>
      <c r="E132" t="inlineStr" s="6">
        <is>
          <t>Astonish</t>
        </is>
      </c>
      <c r="F132" t="inlineStr" s="6">
        <is>
          <t/>
        </is>
      </c>
      <c r="G132" t="inlineStr" s="6">
        <is>
          <t/>
        </is>
      </c>
      <c r="H132" t="inlineStr" s="6">
        <is>
          <t/>
        </is>
      </c>
    </row>
    <row r="133">
      <c r="A133" t="inlineStr" s="5">
        <is>
          <t>Source</t>
        </is>
      </c>
      <c r="B133" t="inlineStr" s="7">
        <is>
          <t>learnset &lt;= L12</t>
        </is>
      </c>
      <c r="C133" t="inlineStr" s="7">
        <is>
          <t>learnset &lt;= L8</t>
        </is>
      </c>
      <c r="D133" t="inlineStr" s="7">
        <is>
          <t>learnset &lt;= L8</t>
        </is>
      </c>
      <c r="E133" t="inlineStr" s="7">
        <is>
          <t>learnset &lt;= L8</t>
        </is>
      </c>
      <c r="F133" t="inlineStr" s="7">
        <is>
          <t/>
        </is>
      </c>
      <c r="G133" t="inlineStr" s="7">
        <is>
          <t/>
        </is>
      </c>
      <c r="H133" t="inlineStr" s="7">
        <is>
          <t/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 ht="24" customHeight="1">
      <c r="A135" t="inlineStr" s="4">
        <is>
          <t>ID 19 | Fisherman - John</t>
        </is>
      </c>
      <c r="B135" t="inlineStr" s="4">
        <is>
          <t>Pokemon 1</t>
        </is>
      </c>
      <c r="C135" t="inlineStr" s="4">
        <is>
          <t>Pokemon 2</t>
        </is>
      </c>
      <c r="D135" t="inlineStr" s="4">
        <is>
          <t>Pokemon 3</t>
        </is>
      </c>
      <c r="E135" t="inlineStr" s="4">
        <is>
          <t>Pokemon 4</t>
        </is>
      </c>
      <c r="F135" t="inlineStr" s="4">
        <is>
          <t>Pokemon 5</t>
        </is>
      </c>
      <c r="G135" t="inlineStr" s="4">
        <is>
          <t>Pokemon 6</t>
        </is>
      </c>
      <c r="H135" t="inlineStr" s="4">
        <is>
          <t>Heritage Park, evento pescatore | Double Battle</t>
        </is>
      </c>
    </row>
    <row r="136" ht="64" customHeight="1">
      <c r="A136" t="inlineStr" s="6">
        <is>
          <t/>
        </is>
      </c>
      <c r="B136" s="6">
        <f>IMAGE("https://img.pokemondb.net/sprites/home/normal/kingler.png")</f>
      </c>
      <c r="C136" s="6">
        <f>IMAGE("https://img.pokemondb.net/sprites/home/normal/whiscash.png")</f>
      </c>
      <c r="D136" s="6">
        <f>IMAGE("https://img.pokemondb.net/sprites/home/normal/pelipper.png")</f>
      </c>
      <c r="E136" s="6">
        <f>IMAGE("https://img.pokemondb.net/sprites/home/normal/slowking.png")</f>
      </c>
      <c r="F136" s="6">
        <f>IMAGE("https://img.pokemondb.net/sprites/home/normal/lapras.png")</f>
      </c>
      <c r="G136" s="6">
        <f>IMAGE("https://img.pokemondb.net/sprites/home/normal/wailord.png")</f>
      </c>
      <c r="H136" t="inlineStr" s="6">
        <is>
          <t/>
        </is>
      </c>
    </row>
    <row r="137">
      <c r="A137" t="inlineStr" s="5">
        <is>
          <t>Pokemon</t>
        </is>
      </c>
      <c r="B137" t="inlineStr" s="6">
        <is>
          <t>Kingler (Ace)</t>
        </is>
      </c>
      <c r="C137" t="inlineStr" s="6">
        <is>
          <t>Whiscash</t>
        </is>
      </c>
      <c r="D137" t="inlineStr" s="6">
        <is>
          <t>Pelipper</t>
        </is>
      </c>
      <c r="E137" t="inlineStr" s="6">
        <is>
          <t>Slowking (Ace)</t>
        </is>
      </c>
      <c r="F137" t="inlineStr" s="6">
        <is>
          <t>Lapras</t>
        </is>
      </c>
      <c r="G137" t="inlineStr" s="6">
        <is>
          <t>Wailord (Ace)</t>
        </is>
      </c>
      <c r="H137" t="inlineStr" s="6">
        <is>
          <t>Items: None</t>
        </is>
      </c>
    </row>
    <row r="138">
      <c r="A138" t="inlineStr" s="5">
        <is>
          <t>Level</t>
        </is>
      </c>
      <c r="B138" t="inlineStr" s="6">
        <is>
          <t>Lv. 60</t>
        </is>
      </c>
      <c r="C138" t="inlineStr" s="6">
        <is>
          <t>Lv. 58</t>
        </is>
      </c>
      <c r="D138" t="inlineStr" s="6">
        <is>
          <t>Lv. 58</t>
        </is>
      </c>
      <c r="E138" t="inlineStr" s="6">
        <is>
          <t>Lv. 60</t>
        </is>
      </c>
      <c r="F138" t="inlineStr" s="6">
        <is>
          <t>Lv. 56</t>
        </is>
      </c>
      <c r="G138" t="inlineStr" s="6">
        <is>
          <t>Lv. 60</t>
        </is>
      </c>
      <c r="H138" t="inlineStr" s="6">
        <is>
          <t>Team size: 6</t>
        </is>
      </c>
    </row>
    <row r="139">
      <c r="A139" t="inlineStr" s="5">
        <is>
          <t>Held Item</t>
        </is>
      </c>
      <c r="B139" t="inlineStr" s="6">
        <is>
          <t/>
        </is>
      </c>
      <c r="C139" t="inlineStr" s="6">
        <is>
          <t/>
        </is>
      </c>
      <c r="D139" t="inlineStr" s="6">
        <is>
          <t/>
        </is>
      </c>
      <c r="E139" t="inlineStr" s="6">
        <is>
          <t/>
        </is>
      </c>
      <c r="F139" t="inlineStr" s="6">
        <is>
          <t/>
        </is>
      </c>
      <c r="G139" t="inlineStr" s="6">
        <is>
          <t/>
        </is>
      </c>
      <c r="H139" t="inlineStr" s="6">
        <is>
          <t/>
        </is>
      </c>
    </row>
    <row r="140">
      <c r="A140" t="inlineStr" s="5">
        <is>
          <t>Move One</t>
        </is>
      </c>
      <c r="B140" t="inlineStr" s="6">
        <is>
          <t>Slam</t>
        </is>
      </c>
      <c r="C140" t="inlineStr" s="6">
        <is>
          <t>Muddy Water</t>
        </is>
      </c>
      <c r="D140" t="inlineStr" s="6">
        <is>
          <t>Fling</t>
        </is>
      </c>
      <c r="E140" t="inlineStr" s="6">
        <is>
          <t>Psychic</t>
        </is>
      </c>
      <c r="F140" t="inlineStr" s="6">
        <is>
          <t>Body Slam</t>
        </is>
      </c>
      <c r="G140" t="inlineStr" s="6">
        <is>
          <t>Rest</t>
        </is>
      </c>
      <c r="H140" t="inlineStr" s="6">
        <is>
          <t/>
        </is>
      </c>
    </row>
    <row r="141">
      <c r="A141" t="inlineStr" s="5">
        <is>
          <t>Move Two</t>
        </is>
      </c>
      <c r="B141" t="inlineStr" s="6">
        <is>
          <t>Swords Dance</t>
        </is>
      </c>
      <c r="C141" t="inlineStr" s="6">
        <is>
          <t>Earthquake</t>
        </is>
      </c>
      <c r="D141" t="inlineStr" s="6">
        <is>
          <t>Mist</t>
        </is>
      </c>
      <c r="E141" t="inlineStr" s="6">
        <is>
          <t>Psych Up</t>
        </is>
      </c>
      <c r="F141" t="inlineStr" s="6">
        <is>
          <t>Ice Beam</t>
        </is>
      </c>
      <c r="G141" t="inlineStr" s="6">
        <is>
          <t>Amnesia</t>
        </is>
      </c>
      <c r="H141" t="inlineStr" s="6">
        <is>
          <t/>
        </is>
      </c>
    </row>
    <row r="142">
      <c r="A142" t="inlineStr" s="5">
        <is>
          <t>Move Three</t>
        </is>
      </c>
      <c r="B142" t="inlineStr" s="6">
        <is>
          <t>Crabhammer</t>
        </is>
      </c>
      <c r="C142" t="inlineStr" s="6">
        <is>
          <t>Future Sight</t>
        </is>
      </c>
      <c r="D142" t="inlineStr" s="6">
        <is>
          <t>Roost</t>
        </is>
      </c>
      <c r="E142" t="inlineStr" s="6">
        <is>
          <t>Rain Dance</t>
        </is>
      </c>
      <c r="F142" t="inlineStr" s="6">
        <is>
          <t>Rain Dance</t>
        </is>
      </c>
      <c r="G142" t="inlineStr" s="6">
        <is>
          <t>Hydro Pump</t>
        </is>
      </c>
      <c r="H142" t="inlineStr" s="6">
        <is>
          <t/>
        </is>
      </c>
    </row>
    <row r="143">
      <c r="A143" t="inlineStr" s="5">
        <is>
          <t>Move Four</t>
        </is>
      </c>
      <c r="B143" t="inlineStr" s="6">
        <is>
          <t>Guillotine</t>
        </is>
      </c>
      <c r="C143" t="inlineStr" s="6">
        <is>
          <t>Fissure</t>
        </is>
      </c>
      <c r="D143" t="inlineStr" s="6">
        <is>
          <t>Hurricane</t>
        </is>
      </c>
      <c r="E143" t="inlineStr" s="6">
        <is>
          <t>Heal Pulse</t>
        </is>
      </c>
      <c r="F143" t="inlineStr" s="6">
        <is>
          <t>Hydro Pump</t>
        </is>
      </c>
      <c r="G143" t="inlineStr" s="6">
        <is>
          <t>Water Spout</t>
        </is>
      </c>
      <c r="H143" t="inlineStr" s="6">
        <is>
          <t/>
        </is>
      </c>
    </row>
    <row r="144">
      <c r="A144" t="inlineStr" s="5">
        <is>
          <t>Source</t>
        </is>
      </c>
      <c r="B144" t="inlineStr" s="7">
        <is>
          <t>learnset &lt;= L60</t>
        </is>
      </c>
      <c r="C144" t="inlineStr" s="7">
        <is>
          <t>learnset &lt;= L58</t>
        </is>
      </c>
      <c r="D144" t="inlineStr" s="7">
        <is>
          <t>learnset &lt;= L58</t>
        </is>
      </c>
      <c r="E144" t="inlineStr" s="7">
        <is>
          <t>learnset &lt;= L60</t>
        </is>
      </c>
      <c r="F144" t="inlineStr" s="7">
        <is>
          <t>learnset &lt;= L56</t>
        </is>
      </c>
      <c r="G144" t="inlineStr" s="7">
        <is>
          <t>learnset &lt;= L60</t>
        </is>
      </c>
      <c r="H144" t="inlineStr" s="7">
        <is>
          <t/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 ht="24" customHeight="1">
      <c r="A146" t="inlineStr" s="4">
        <is>
          <t>ID 20 | Fisherman - John</t>
        </is>
      </c>
      <c r="B146" t="inlineStr" s="4">
        <is>
          <t>Pokemon 1</t>
        </is>
      </c>
      <c r="C146" t="inlineStr" s="4">
        <is>
          <t>Pokemon 2</t>
        </is>
      </c>
      <c r="D146" t="inlineStr" s="4">
        <is>
          <t>Pokemon 3</t>
        </is>
      </c>
      <c r="E146" t="inlineStr" s="4">
        <is>
          <t>Pokemon 4</t>
        </is>
      </c>
      <c r="F146" t="inlineStr" s="4">
        <is>
          <t>Pokemon 5</t>
        </is>
      </c>
      <c r="G146" t="inlineStr" s="4">
        <is>
          <t>Pokemon 6</t>
        </is>
      </c>
      <c r="H146" t="inlineStr" s="4">
        <is>
          <t>Heritage Park, evento pescatore | Double Battle</t>
        </is>
      </c>
    </row>
    <row r="147" ht="64" customHeight="1">
      <c r="A147" t="inlineStr" s="6">
        <is>
          <t/>
        </is>
      </c>
      <c r="B147" s="6">
        <f>IMAGE("https://img.pokemondb.net/sprites/home/normal/kingler.png")</f>
      </c>
      <c r="C147" s="6">
        <f>IMAGE("https://img.pokemondb.net/sprites/home/normal/whiscash.png")</f>
      </c>
      <c r="D147" s="6">
        <f>IMAGE("https://img.pokemondb.net/sprites/home/normal/pelipper.png")</f>
      </c>
      <c r="E147" s="6">
        <f>IMAGE("https://img.pokemondb.net/sprites/home/normal/slowbro.png")</f>
      </c>
      <c r="F147" s="6">
        <f>IMAGE("https://img.pokemondb.net/sprites/home/normal/lapras.png")</f>
      </c>
      <c r="G147" t="inlineStr" s="6">
        <is>
          <t/>
        </is>
      </c>
      <c r="H147" t="inlineStr" s="6">
        <is>
          <t/>
        </is>
      </c>
    </row>
    <row r="148">
      <c r="A148" t="inlineStr" s="5">
        <is>
          <t>Pokemon</t>
        </is>
      </c>
      <c r="B148" t="inlineStr" s="6">
        <is>
          <t>Kingler (Ace)</t>
        </is>
      </c>
      <c r="C148" t="inlineStr" s="6">
        <is>
          <t>Whiscash</t>
        </is>
      </c>
      <c r="D148" t="inlineStr" s="6">
        <is>
          <t>Pelipper</t>
        </is>
      </c>
      <c r="E148" t="inlineStr" s="6">
        <is>
          <t>Slowbro</t>
        </is>
      </c>
      <c r="F148" t="inlineStr" s="6">
        <is>
          <t>Lapras</t>
        </is>
      </c>
      <c r="G148" t="inlineStr" s="6">
        <is>
          <t/>
        </is>
      </c>
      <c r="H148" t="inlineStr" s="6">
        <is>
          <t>Items: None</t>
        </is>
      </c>
    </row>
    <row r="149">
      <c r="A149" t="inlineStr" s="5">
        <is>
          <t>Level</t>
        </is>
      </c>
      <c r="B149" t="inlineStr" s="6">
        <is>
          <t>Lv. 48</t>
        </is>
      </c>
      <c r="C149" t="inlineStr" s="6">
        <is>
          <t>Lv. 46</t>
        </is>
      </c>
      <c r="D149" t="inlineStr" s="6">
        <is>
          <t>Lv. 45</t>
        </is>
      </c>
      <c r="E149" t="inlineStr" s="6">
        <is>
          <t>Lv. 45</t>
        </is>
      </c>
      <c r="F149" t="inlineStr" s="6">
        <is>
          <t>Lv. 46</t>
        </is>
      </c>
      <c r="G149" t="inlineStr" s="6">
        <is>
          <t/>
        </is>
      </c>
      <c r="H149" t="inlineStr" s="6">
        <is>
          <t>Team size: 5</t>
        </is>
      </c>
    </row>
    <row r="150">
      <c r="A150" t="inlineStr" s="5">
        <is>
          <t>Held Item</t>
        </is>
      </c>
      <c r="B150" t="inlineStr" s="6">
        <is>
          <t/>
        </is>
      </c>
      <c r="C150" t="inlineStr" s="6">
        <is>
          <t/>
        </is>
      </c>
      <c r="D150" t="inlineStr" s="6">
        <is>
          <t/>
        </is>
      </c>
      <c r="E150" t="inlineStr" s="6">
        <is>
          <t/>
        </is>
      </c>
      <c r="F150" t="inlineStr" s="6">
        <is>
          <t/>
        </is>
      </c>
      <c r="G150" t="inlineStr" s="6">
        <is>
          <t/>
        </is>
      </c>
      <c r="H150" t="inlineStr" s="6">
        <is>
          <t/>
        </is>
      </c>
    </row>
    <row r="151">
      <c r="A151" t="inlineStr" s="5">
        <is>
          <t>Move One</t>
        </is>
      </c>
      <c r="B151" t="inlineStr" s="6">
        <is>
          <t>Flail</t>
        </is>
      </c>
      <c r="C151" t="inlineStr" s="6">
        <is>
          <t>Amnesia</t>
        </is>
      </c>
      <c r="D151" t="inlineStr" s="6">
        <is>
          <t>Spit Up</t>
        </is>
      </c>
      <c r="E151" t="inlineStr" s="6">
        <is>
          <t>Surf</t>
        </is>
      </c>
      <c r="F151" t="inlineStr" s="6">
        <is>
          <t>Water Pulse</t>
        </is>
      </c>
      <c r="G151" t="inlineStr" s="6">
        <is>
          <t/>
        </is>
      </c>
      <c r="H151" t="inlineStr" s="6">
        <is>
          <t/>
        </is>
      </c>
    </row>
    <row r="152">
      <c r="A152" t="inlineStr" s="5">
        <is>
          <t>Move Two</t>
        </is>
      </c>
      <c r="B152" t="inlineStr" s="6">
        <is>
          <t>Razor Shell</t>
        </is>
      </c>
      <c r="C152" t="inlineStr" s="6">
        <is>
          <t>Aqua Tail</t>
        </is>
      </c>
      <c r="D152" t="inlineStr" s="6">
        <is>
          <t>Swallow</t>
        </is>
      </c>
      <c r="E152" t="inlineStr" s="6">
        <is>
          <t>Slack Off</t>
        </is>
      </c>
      <c r="F152" t="inlineStr" s="6">
        <is>
          <t>Brine</t>
        </is>
      </c>
      <c r="G152" t="inlineStr" s="6">
        <is>
          <t/>
        </is>
      </c>
      <c r="H152" t="inlineStr" s="6">
        <is>
          <t/>
        </is>
      </c>
    </row>
    <row r="153">
      <c r="A153" t="inlineStr" s="5">
        <is>
          <t>Move Three</t>
        </is>
      </c>
      <c r="B153" t="inlineStr" s="6">
        <is>
          <t>Slam</t>
        </is>
      </c>
      <c r="C153" t="inlineStr" s="6">
        <is>
          <t>Muddy Water</t>
        </is>
      </c>
      <c r="D153" t="inlineStr" s="6">
        <is>
          <t>Fling</t>
        </is>
      </c>
      <c r="E153" t="inlineStr" s="6">
        <is>
          <t>Psychic</t>
        </is>
      </c>
      <c r="F153" t="inlineStr" s="6">
        <is>
          <t>Body Slam</t>
        </is>
      </c>
      <c r="G153" t="inlineStr" s="6">
        <is>
          <t/>
        </is>
      </c>
      <c r="H153" t="inlineStr" s="6">
        <is>
          <t/>
        </is>
      </c>
    </row>
    <row r="154">
      <c r="A154" t="inlineStr" s="5">
        <is>
          <t>Move Four</t>
        </is>
      </c>
      <c r="B154" t="inlineStr" s="6">
        <is>
          <t>Swords Dance</t>
        </is>
      </c>
      <c r="C154" t="inlineStr" s="6">
        <is>
          <t>Earthquake</t>
        </is>
      </c>
      <c r="D154" t="inlineStr" s="6">
        <is>
          <t>Mist</t>
        </is>
      </c>
      <c r="E154" t="inlineStr" s="6">
        <is>
          <t>Psych Up</t>
        </is>
      </c>
      <c r="F154" t="inlineStr" s="6">
        <is>
          <t>Ice Beam</t>
        </is>
      </c>
      <c r="G154" t="inlineStr" s="6">
        <is>
          <t/>
        </is>
      </c>
      <c r="H154" t="inlineStr" s="6">
        <is>
          <t/>
        </is>
      </c>
    </row>
    <row r="155">
      <c r="A155" t="inlineStr" s="5">
        <is>
          <t>Source</t>
        </is>
      </c>
      <c r="B155" t="inlineStr" s="7">
        <is>
          <t>learnset &lt;= L48</t>
        </is>
      </c>
      <c r="C155" t="inlineStr" s="7">
        <is>
          <t>learnset &lt;= L46</t>
        </is>
      </c>
      <c r="D155" t="inlineStr" s="7">
        <is>
          <t>learnset &lt;= L45</t>
        </is>
      </c>
      <c r="E155" t="inlineStr" s="7">
        <is>
          <t>learnset &lt;= L45</t>
        </is>
      </c>
      <c r="F155" t="inlineStr" s="7">
        <is>
          <t>learnset &lt;= L46</t>
        </is>
      </c>
      <c r="G155" t="inlineStr" s="7">
        <is>
          <t/>
        </is>
      </c>
      <c r="H155" t="inlineStr" s="7">
        <is>
          <t/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 ht="24" customHeight="1">
      <c r="A157" t="inlineStr" s="4">
        <is>
          <t>ID 21 | Fisherman - John</t>
        </is>
      </c>
      <c r="B157" t="inlineStr" s="4">
        <is>
          <t>Pokemon 1</t>
        </is>
      </c>
      <c r="C157" t="inlineStr" s="4">
        <is>
          <t>Pokemon 2</t>
        </is>
      </c>
      <c r="D157" t="inlineStr" s="4">
        <is>
          <t>Pokemon 3</t>
        </is>
      </c>
      <c r="E157" t="inlineStr" s="4">
        <is>
          <t>Pokemon 4</t>
        </is>
      </c>
      <c r="F157" t="inlineStr" s="4">
        <is>
          <t>Pokemon 5</t>
        </is>
      </c>
      <c r="G157" t="inlineStr" s="4">
        <is>
          <t>Pokemon 6</t>
        </is>
      </c>
      <c r="H157" t="inlineStr" s="4">
        <is>
          <t>Heritage Park, evento pescatore | Double Battle</t>
        </is>
      </c>
    </row>
    <row r="158" ht="64" customHeight="1">
      <c r="A158" t="inlineStr" s="6">
        <is>
          <t/>
        </is>
      </c>
      <c r="B158" s="6">
        <f>IMAGE("https://img.pokemondb.net/sprites/home/normal/kingler.png")</f>
      </c>
      <c r="C158" s="6">
        <f>IMAGE("https://img.pokemondb.net/sprites/home/normal/whiscash.png")</f>
      </c>
      <c r="D158" s="6">
        <f>IMAGE("https://img.pokemondb.net/sprites/home/normal/pelipper.png")</f>
      </c>
      <c r="E158" s="6">
        <f>IMAGE("https://img.pokemondb.net/sprites/home/normal/slowbro.png")</f>
      </c>
      <c r="F158" t="inlineStr" s="6">
        <is>
          <t/>
        </is>
      </c>
      <c r="G158" t="inlineStr" s="6">
        <is>
          <t/>
        </is>
      </c>
      <c r="H158" t="inlineStr" s="6">
        <is>
          <t/>
        </is>
      </c>
    </row>
    <row r="159">
      <c r="A159" t="inlineStr" s="5">
        <is>
          <t>Pokemon</t>
        </is>
      </c>
      <c r="B159" t="inlineStr" s="6">
        <is>
          <t>Kingler (Ace)</t>
        </is>
      </c>
      <c r="C159" t="inlineStr" s="6">
        <is>
          <t>Whiscash</t>
        </is>
      </c>
      <c r="D159" t="inlineStr" s="6">
        <is>
          <t>Pelipper</t>
        </is>
      </c>
      <c r="E159" t="inlineStr" s="6">
        <is>
          <t>Slowbro</t>
        </is>
      </c>
      <c r="F159" t="inlineStr" s="6">
        <is>
          <t/>
        </is>
      </c>
      <c r="G159" t="inlineStr" s="6">
        <is>
          <t/>
        </is>
      </c>
      <c r="H159" t="inlineStr" s="6">
        <is>
          <t>Items: None</t>
        </is>
      </c>
    </row>
    <row r="160">
      <c r="A160" t="inlineStr" s="5">
        <is>
          <t>Level</t>
        </is>
      </c>
      <c r="B160" t="inlineStr" s="6">
        <is>
          <t>Lv. 35</t>
        </is>
      </c>
      <c r="C160" t="inlineStr" s="6">
        <is>
          <t>Lv. 32</t>
        </is>
      </c>
      <c r="D160" t="inlineStr" s="6">
        <is>
          <t>Lv. 34</t>
        </is>
      </c>
      <c r="E160" t="inlineStr" s="6">
        <is>
          <t>Lv. 32</t>
        </is>
      </c>
      <c r="F160" t="inlineStr" s="6">
        <is>
          <t/>
        </is>
      </c>
      <c r="G160" t="inlineStr" s="6">
        <is>
          <t/>
        </is>
      </c>
      <c r="H160" t="inlineStr" s="6">
        <is>
          <t>Team size: 4</t>
        </is>
      </c>
    </row>
    <row r="161">
      <c r="A161" t="inlineStr" s="5">
        <is>
          <t>Held Item</t>
        </is>
      </c>
      <c r="B161" t="inlineStr" s="6">
        <is>
          <t/>
        </is>
      </c>
      <c r="C161" t="inlineStr" s="6">
        <is>
          <t/>
        </is>
      </c>
      <c r="D161" t="inlineStr" s="6">
        <is>
          <t/>
        </is>
      </c>
      <c r="E161" t="inlineStr" s="6">
        <is>
          <t/>
        </is>
      </c>
      <c r="F161" t="inlineStr" s="6">
        <is>
          <t/>
        </is>
      </c>
      <c r="G161" t="inlineStr" s="6">
        <is>
          <t/>
        </is>
      </c>
      <c r="H161" t="inlineStr" s="6">
        <is>
          <t/>
        </is>
      </c>
    </row>
    <row r="162">
      <c r="A162" t="inlineStr" s="5">
        <is>
          <t>Move One</t>
        </is>
      </c>
      <c r="B162" t="inlineStr" s="6">
        <is>
          <t>Protect</t>
        </is>
      </c>
      <c r="C162" t="inlineStr" s="6">
        <is>
          <t>Belch</t>
        </is>
      </c>
      <c r="D162" t="inlineStr" s="6">
        <is>
          <t>Stockpile</t>
        </is>
      </c>
      <c r="E162" t="inlineStr" s="6">
        <is>
          <t>Headbutt</t>
        </is>
      </c>
      <c r="F162" t="inlineStr" s="6">
        <is>
          <t/>
        </is>
      </c>
      <c r="G162" t="inlineStr" s="6">
        <is>
          <t/>
        </is>
      </c>
      <c r="H162" t="inlineStr" s="6">
        <is>
          <t/>
        </is>
      </c>
    </row>
    <row r="163">
      <c r="A163" t="inlineStr" s="5">
        <is>
          <t>Move Two</t>
        </is>
      </c>
      <c r="B163" t="inlineStr" s="6">
        <is>
          <t>Bubble Beam</t>
        </is>
      </c>
      <c r="C163" t="inlineStr" s="6">
        <is>
          <t>Water Pulse</t>
        </is>
      </c>
      <c r="D163" t="inlineStr" s="6">
        <is>
          <t>Spit Up</t>
        </is>
      </c>
      <c r="E163" t="inlineStr" s="6">
        <is>
          <t>Zen Headbutt</t>
        </is>
      </c>
      <c r="F163" t="inlineStr" s="6">
        <is>
          <t/>
        </is>
      </c>
      <c r="G163" t="inlineStr" s="6">
        <is>
          <t/>
        </is>
      </c>
      <c r="H163" t="inlineStr" s="6">
        <is>
          <t/>
        </is>
      </c>
    </row>
    <row r="164">
      <c r="A164" t="inlineStr" s="5">
        <is>
          <t>Move Three</t>
        </is>
      </c>
      <c r="B164" t="inlineStr" s="6">
        <is>
          <t>Stomp</t>
        </is>
      </c>
      <c r="C164" t="inlineStr" s="6">
        <is>
          <t>Amnesia</t>
        </is>
      </c>
      <c r="D164" t="inlineStr" s="6">
        <is>
          <t>Swallow</t>
        </is>
      </c>
      <c r="E164" t="inlineStr" s="6">
        <is>
          <t>Amnesia</t>
        </is>
      </c>
      <c r="F164" t="inlineStr" s="6">
        <is>
          <t/>
        </is>
      </c>
      <c r="G164" t="inlineStr" s="6">
        <is>
          <t/>
        </is>
      </c>
      <c r="H164" t="inlineStr" s="6">
        <is>
          <t/>
        </is>
      </c>
    </row>
    <row r="165">
      <c r="A165" t="inlineStr" s="5">
        <is>
          <t>Move Four</t>
        </is>
      </c>
      <c r="B165" t="inlineStr" s="6">
        <is>
          <t>Flail</t>
        </is>
      </c>
      <c r="C165" t="inlineStr" s="6">
        <is>
          <t>Aqua Tail</t>
        </is>
      </c>
      <c r="D165" t="inlineStr" s="6">
        <is>
          <t>Fling</t>
        </is>
      </c>
      <c r="E165" t="inlineStr" s="6">
        <is>
          <t>Surf</t>
        </is>
      </c>
      <c r="F165" t="inlineStr" s="6">
        <is>
          <t/>
        </is>
      </c>
      <c r="G165" t="inlineStr" s="6">
        <is>
          <t/>
        </is>
      </c>
      <c r="H165" t="inlineStr" s="6">
        <is>
          <t/>
        </is>
      </c>
    </row>
    <row r="166">
      <c r="A166" t="inlineStr" s="5">
        <is>
          <t>Source</t>
        </is>
      </c>
      <c r="B166" t="inlineStr" s="7">
        <is>
          <t>learnset &lt;= L35</t>
        </is>
      </c>
      <c r="C166" t="inlineStr" s="7">
        <is>
          <t>learnset &lt;= L32</t>
        </is>
      </c>
      <c r="D166" t="inlineStr" s="7">
        <is>
          <t>learnset &lt;= L34</t>
        </is>
      </c>
      <c r="E166" t="inlineStr" s="7">
        <is>
          <t>learnset &lt;= L32</t>
        </is>
      </c>
      <c r="F166" t="inlineStr" s="7">
        <is>
          <t/>
        </is>
      </c>
      <c r="G166" t="inlineStr" s="7">
        <is>
          <t/>
        </is>
      </c>
      <c r="H166" t="inlineStr" s="7">
        <is>
          <t/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 ht="24" customHeight="1">
      <c r="A168" t="inlineStr" s="4">
        <is>
          <t>ID 22 | Fisherman - John</t>
        </is>
      </c>
      <c r="B168" t="inlineStr" s="4">
        <is>
          <t>Pokemon 1</t>
        </is>
      </c>
      <c r="C168" t="inlineStr" s="4">
        <is>
          <t>Pokemon 2</t>
        </is>
      </c>
      <c r="D168" t="inlineStr" s="4">
        <is>
          <t>Pokemon 3</t>
        </is>
      </c>
      <c r="E168" t="inlineStr" s="4">
        <is>
          <t>Pokemon 4</t>
        </is>
      </c>
      <c r="F168" t="inlineStr" s="4">
        <is>
          <t>Pokemon 5</t>
        </is>
      </c>
      <c r="G168" t="inlineStr" s="4">
        <is>
          <t>Pokemon 6</t>
        </is>
      </c>
      <c r="H168" t="inlineStr" s="4">
        <is>
          <t>Heritage Park, evento pescatore | Double Battle</t>
        </is>
      </c>
    </row>
    <row r="169" ht="64" customHeight="1">
      <c r="A169" t="inlineStr" s="6">
        <is>
          <t/>
        </is>
      </c>
      <c r="B169" s="6">
        <f>IMAGE("https://img.pokemondb.net/sprites/home/normal/krabby.png")</f>
      </c>
      <c r="C169" s="6">
        <f>IMAGE("https://img.pokemondb.net/sprites/home/normal/barboach.png")</f>
      </c>
      <c r="D169" s="6">
        <f>IMAGE("https://img.pokemondb.net/sprites/home/normal/pelipper.png")</f>
      </c>
      <c r="E169" t="inlineStr" s="6">
        <is>
          <t/>
        </is>
      </c>
      <c r="F169" t="inlineStr" s="6">
        <is>
          <t/>
        </is>
      </c>
      <c r="G169" t="inlineStr" s="6">
        <is>
          <t/>
        </is>
      </c>
      <c r="H169" t="inlineStr" s="6">
        <is>
          <t/>
        </is>
      </c>
    </row>
    <row r="170">
      <c r="A170" t="inlineStr" s="5">
        <is>
          <t>Pokemon</t>
        </is>
      </c>
      <c r="B170" t="inlineStr" s="6">
        <is>
          <t>Krabby</t>
        </is>
      </c>
      <c r="C170" t="inlineStr" s="6">
        <is>
          <t>Barboach (Ace)</t>
        </is>
      </c>
      <c r="D170" t="inlineStr" s="6">
        <is>
          <t>Pelipper</t>
        </is>
      </c>
      <c r="E170" t="inlineStr" s="6">
        <is>
          <t/>
        </is>
      </c>
      <c r="F170" t="inlineStr" s="6">
        <is>
          <t/>
        </is>
      </c>
      <c r="G170" t="inlineStr" s="6">
        <is>
          <t/>
        </is>
      </c>
      <c r="H170" t="inlineStr" s="6">
        <is>
          <t>Items: None</t>
        </is>
      </c>
    </row>
    <row r="171">
      <c r="A171" t="inlineStr" s="5">
        <is>
          <t>Level</t>
        </is>
      </c>
      <c r="B171" t="inlineStr" s="6">
        <is>
          <t>Lv. 20</t>
        </is>
      </c>
      <c r="C171" t="inlineStr" s="6">
        <is>
          <t>Lv. 22</t>
        </is>
      </c>
      <c r="D171" t="inlineStr" s="6">
        <is>
          <t>Lv. 20</t>
        </is>
      </c>
      <c r="E171" t="inlineStr" s="6">
        <is>
          <t/>
        </is>
      </c>
      <c r="F171" t="inlineStr" s="6">
        <is>
          <t/>
        </is>
      </c>
      <c r="G171" t="inlineStr" s="6">
        <is>
          <t/>
        </is>
      </c>
      <c r="H171" t="inlineStr" s="6">
        <is>
          <t>Team size: 3</t>
        </is>
      </c>
    </row>
    <row r="172">
      <c r="A172" t="inlineStr" s="5">
        <is>
          <t>Held Item</t>
        </is>
      </c>
      <c r="B172" t="inlineStr" s="6">
        <is>
          <t/>
        </is>
      </c>
      <c r="C172" t="inlineStr" s="6">
        <is>
          <t/>
        </is>
      </c>
      <c r="D172" t="inlineStr" s="6">
        <is>
          <t/>
        </is>
      </c>
      <c r="E172" t="inlineStr" s="6">
        <is>
          <t/>
        </is>
      </c>
      <c r="F172" t="inlineStr" s="6">
        <is>
          <t/>
        </is>
      </c>
      <c r="G172" t="inlineStr" s="6">
        <is>
          <t/>
        </is>
      </c>
      <c r="H172" t="inlineStr" s="6">
        <is>
          <t/>
        </is>
      </c>
    </row>
    <row r="173">
      <c r="A173" t="inlineStr" s="5">
        <is>
          <t>Move One</t>
        </is>
      </c>
      <c r="B173" t="inlineStr" s="6">
        <is>
          <t>Metal Claw</t>
        </is>
      </c>
      <c r="C173" t="inlineStr" s="6">
        <is>
          <t>Rest</t>
        </is>
      </c>
      <c r="D173" t="inlineStr" s="6">
        <is>
          <t>Protect</t>
        </is>
      </c>
      <c r="E173" t="inlineStr" s="6">
        <is>
          <t/>
        </is>
      </c>
      <c r="F173" t="inlineStr" s="6">
        <is>
          <t/>
        </is>
      </c>
      <c r="G173" t="inlineStr" s="6">
        <is>
          <t/>
        </is>
      </c>
      <c r="H173" t="inlineStr" s="6">
        <is>
          <t/>
        </is>
      </c>
    </row>
    <row r="174">
      <c r="A174" t="inlineStr" s="5">
        <is>
          <t>Move Two</t>
        </is>
      </c>
      <c r="B174" t="inlineStr" s="6">
        <is>
          <t>Mud Shot</t>
        </is>
      </c>
      <c r="C174" t="inlineStr" s="6">
        <is>
          <t>Snore</t>
        </is>
      </c>
      <c r="D174" t="inlineStr" s="6">
        <is>
          <t>Soak</t>
        </is>
      </c>
      <c r="E174" t="inlineStr" s="6">
        <is>
          <t/>
        </is>
      </c>
      <c r="F174" t="inlineStr" s="6">
        <is>
          <t/>
        </is>
      </c>
      <c r="G174" t="inlineStr" s="6">
        <is>
          <t/>
        </is>
      </c>
      <c r="H174" t="inlineStr" s="6">
        <is>
          <t/>
        </is>
      </c>
    </row>
    <row r="175">
      <c r="A175" t="inlineStr" s="5">
        <is>
          <t>Move Three</t>
        </is>
      </c>
      <c r="B175" t="inlineStr" s="6">
        <is>
          <t>Protect</t>
        </is>
      </c>
      <c r="C175" t="inlineStr" s="6">
        <is>
          <t>Water Pulse</t>
        </is>
      </c>
      <c r="D175" t="inlineStr" s="6">
        <is>
          <t>Wing Attack</t>
        </is>
      </c>
      <c r="E175" t="inlineStr" s="6">
        <is>
          <t/>
        </is>
      </c>
      <c r="F175" t="inlineStr" s="6">
        <is>
          <t/>
        </is>
      </c>
      <c r="G175" t="inlineStr" s="6">
        <is>
          <t/>
        </is>
      </c>
      <c r="H175" t="inlineStr" s="6">
        <is>
          <t/>
        </is>
      </c>
    </row>
    <row r="176">
      <c r="A176" t="inlineStr" s="5">
        <is>
          <t>Move Four</t>
        </is>
      </c>
      <c r="B176" t="inlineStr" s="6">
        <is>
          <t>Bubble Beam</t>
        </is>
      </c>
      <c r="C176" t="inlineStr" s="6">
        <is>
          <t>Amnesia</t>
        </is>
      </c>
      <c r="D176" t="inlineStr" s="6">
        <is>
          <t>Water Pulse</t>
        </is>
      </c>
      <c r="E176" t="inlineStr" s="6">
        <is>
          <t/>
        </is>
      </c>
      <c r="F176" t="inlineStr" s="6">
        <is>
          <t/>
        </is>
      </c>
      <c r="G176" t="inlineStr" s="6">
        <is>
          <t/>
        </is>
      </c>
      <c r="H176" t="inlineStr" s="6">
        <is>
          <t/>
        </is>
      </c>
    </row>
    <row r="177">
      <c r="A177" t="inlineStr" s="5">
        <is>
          <t>Source</t>
        </is>
      </c>
      <c r="B177" t="inlineStr" s="7">
        <is>
          <t>learnset &lt;= L20</t>
        </is>
      </c>
      <c r="C177" t="inlineStr" s="7">
        <is>
          <t>learnset &lt;= L22</t>
        </is>
      </c>
      <c r="D177" t="inlineStr" s="7">
        <is>
          <t>learnset &lt;= L20</t>
        </is>
      </c>
      <c r="E177" t="inlineStr" s="7">
        <is>
          <t/>
        </is>
      </c>
      <c r="F177" t="inlineStr" s="7">
        <is>
          <t/>
        </is>
      </c>
      <c r="G177" t="inlineStr" s="7">
        <is>
          <t/>
        </is>
      </c>
      <c r="H177" t="inlineStr" s="7">
        <is>
          <t/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</row>
    <row r="179" ht="24" customHeight="1">
      <c r="A179" t="inlineStr" s="4">
        <is>
          <t>ID 23 | Fisherman - John</t>
        </is>
      </c>
      <c r="B179" t="inlineStr" s="4">
        <is>
          <t>Pokemon 1</t>
        </is>
      </c>
      <c r="C179" t="inlineStr" s="4">
        <is>
          <t>Pokemon 2</t>
        </is>
      </c>
      <c r="D179" t="inlineStr" s="4">
        <is>
          <t>Pokemon 3</t>
        </is>
      </c>
      <c r="E179" t="inlineStr" s="4">
        <is>
          <t>Pokemon 4</t>
        </is>
      </c>
      <c r="F179" t="inlineStr" s="4">
        <is>
          <t>Pokemon 5</t>
        </is>
      </c>
      <c r="G179" t="inlineStr" s="4">
        <is>
          <t>Pokemon 6</t>
        </is>
      </c>
      <c r="H179" t="inlineStr" s="4">
        <is>
          <t>Heritage Park, evento pescatore | Double Battle</t>
        </is>
      </c>
    </row>
    <row r="180" ht="64" customHeight="1">
      <c r="A180" t="inlineStr" s="6">
        <is>
          <t/>
        </is>
      </c>
      <c r="B180" s="6">
        <f>IMAGE("https://img.pokemondb.net/sprites/home/normal/krabby.png")</f>
      </c>
      <c r="C180" s="6">
        <f>IMAGE("https://img.pokemondb.net/sprites/home/normal/barboach.png")</f>
      </c>
      <c r="D180" t="inlineStr" s="6">
        <is>
          <t/>
        </is>
      </c>
      <c r="E180" t="inlineStr" s="6">
        <is>
          <t/>
        </is>
      </c>
      <c r="F180" t="inlineStr" s="6">
        <is>
          <t/>
        </is>
      </c>
      <c r="G180" t="inlineStr" s="6">
        <is>
          <t/>
        </is>
      </c>
      <c r="H180" t="inlineStr" s="6">
        <is>
          <t/>
        </is>
      </c>
    </row>
    <row r="181">
      <c r="A181" t="inlineStr" s="5">
        <is>
          <t>Pokemon</t>
        </is>
      </c>
      <c r="B181" t="inlineStr" s="6">
        <is>
          <t>Krabby (Ace)</t>
        </is>
      </c>
      <c r="C181" t="inlineStr" s="6">
        <is>
          <t>Barboach (Ace)</t>
        </is>
      </c>
      <c r="D181" t="inlineStr" s="6">
        <is>
          <t/>
        </is>
      </c>
      <c r="E181" t="inlineStr" s="6">
        <is>
          <t/>
        </is>
      </c>
      <c r="F181" t="inlineStr" s="6">
        <is>
          <t/>
        </is>
      </c>
      <c r="G181" t="inlineStr" s="6">
        <is>
          <t/>
        </is>
      </c>
      <c r="H181" t="inlineStr" s="6">
        <is>
          <t>Items: None</t>
        </is>
      </c>
    </row>
    <row r="182">
      <c r="A182" t="inlineStr" s="5">
        <is>
          <t>Level</t>
        </is>
      </c>
      <c r="B182" t="inlineStr" s="6">
        <is>
          <t>Lv. 8</t>
        </is>
      </c>
      <c r="C182" t="inlineStr" s="6">
        <is>
          <t>Lv. 8</t>
        </is>
      </c>
      <c r="D182" t="inlineStr" s="6">
        <is>
          <t/>
        </is>
      </c>
      <c r="E182" t="inlineStr" s="6">
        <is>
          <t/>
        </is>
      </c>
      <c r="F182" t="inlineStr" s="6">
        <is>
          <t/>
        </is>
      </c>
      <c r="G182" t="inlineStr" s="6">
        <is>
          <t/>
        </is>
      </c>
      <c r="H182" t="inlineStr" s="6">
        <is>
          <t>Team size: 2</t>
        </is>
      </c>
    </row>
    <row r="183">
      <c r="A183" t="inlineStr" s="5">
        <is>
          <t>Held Item</t>
        </is>
      </c>
      <c r="B183" t="inlineStr" s="6">
        <is>
          <t/>
        </is>
      </c>
      <c r="C183" t="inlineStr" s="6">
        <is>
          <t/>
        </is>
      </c>
      <c r="D183" t="inlineStr" s="6">
        <is>
          <t/>
        </is>
      </c>
      <c r="E183" t="inlineStr" s="6">
        <is>
          <t/>
        </is>
      </c>
      <c r="F183" t="inlineStr" s="6">
        <is>
          <t/>
        </is>
      </c>
      <c r="G183" t="inlineStr" s="6">
        <is>
          <t/>
        </is>
      </c>
      <c r="H183" t="inlineStr" s="6">
        <is>
          <t/>
        </is>
      </c>
    </row>
    <row r="184">
      <c r="A184" t="inlineStr" s="5">
        <is>
          <t>Move One</t>
        </is>
      </c>
      <c r="B184" t="inlineStr" s="6">
        <is>
          <t>Leer</t>
        </is>
      </c>
      <c r="C184" t="inlineStr" s="6">
        <is>
          <t>Water Gun</t>
        </is>
      </c>
      <c r="D184" t="inlineStr" s="6">
        <is>
          <t/>
        </is>
      </c>
      <c r="E184" t="inlineStr" s="6">
        <is>
          <t/>
        </is>
      </c>
      <c r="F184" t="inlineStr" s="6">
        <is>
          <t/>
        </is>
      </c>
      <c r="G184" t="inlineStr" s="6">
        <is>
          <t/>
        </is>
      </c>
      <c r="H184" t="inlineStr" s="6">
        <is>
          <t/>
        </is>
      </c>
    </row>
    <row r="185">
      <c r="A185" t="inlineStr" s="5">
        <is>
          <t>Move Two</t>
        </is>
      </c>
      <c r="B185" t="inlineStr" s="6">
        <is>
          <t>Water Gun</t>
        </is>
      </c>
      <c r="C185" t="inlineStr" s="6">
        <is>
          <t>Mud Slap</t>
        </is>
      </c>
      <c r="D185" t="inlineStr" s="6">
        <is>
          <t/>
        </is>
      </c>
      <c r="E185" t="inlineStr" s="6">
        <is>
          <t/>
        </is>
      </c>
      <c r="F185" t="inlineStr" s="6">
        <is>
          <t/>
        </is>
      </c>
      <c r="G185" t="inlineStr" s="6">
        <is>
          <t/>
        </is>
      </c>
      <c r="H185" t="inlineStr" s="6">
        <is>
          <t/>
        </is>
      </c>
    </row>
    <row r="186">
      <c r="A186" t="inlineStr" s="5">
        <is>
          <t>Move Three</t>
        </is>
      </c>
      <c r="B186" t="inlineStr" s="6">
        <is>
          <t>Harden</t>
        </is>
      </c>
      <c r="C186" t="inlineStr" s="6">
        <is>
          <t>Rest</t>
        </is>
      </c>
      <c r="D186" t="inlineStr" s="6">
        <is>
          <t/>
        </is>
      </c>
      <c r="E186" t="inlineStr" s="6">
        <is>
          <t/>
        </is>
      </c>
      <c r="F186" t="inlineStr" s="6">
        <is>
          <t/>
        </is>
      </c>
      <c r="G186" t="inlineStr" s="6">
        <is>
          <t/>
        </is>
      </c>
      <c r="H186" t="inlineStr" s="6">
        <is>
          <t/>
        </is>
      </c>
    </row>
    <row r="187">
      <c r="A187" t="inlineStr" s="5">
        <is>
          <t>Move Four</t>
        </is>
      </c>
      <c r="B187" t="inlineStr" s="6">
        <is>
          <t>Metal Claw</t>
        </is>
      </c>
      <c r="C187" t="inlineStr" s="6">
        <is>
          <t>Snore</t>
        </is>
      </c>
      <c r="D187" t="inlineStr" s="6">
        <is>
          <t/>
        </is>
      </c>
      <c r="E187" t="inlineStr" s="6">
        <is>
          <t/>
        </is>
      </c>
      <c r="F187" t="inlineStr" s="6">
        <is>
          <t/>
        </is>
      </c>
      <c r="G187" t="inlineStr" s="6">
        <is>
          <t/>
        </is>
      </c>
      <c r="H187" t="inlineStr" s="6">
        <is>
          <t/>
        </is>
      </c>
    </row>
    <row r="188">
      <c r="A188" t="inlineStr" s="5">
        <is>
          <t>Source</t>
        </is>
      </c>
      <c r="B188" t="inlineStr" s="7">
        <is>
          <t>learnset &lt;= L8</t>
        </is>
      </c>
      <c r="C188" t="inlineStr" s="7">
        <is>
          <t>learnset &lt;= L8</t>
        </is>
      </c>
      <c r="D188" t="inlineStr" s="7">
        <is>
          <t/>
        </is>
      </c>
      <c r="E188" t="inlineStr" s="7">
        <is>
          <t/>
        </is>
      </c>
      <c r="F188" t="inlineStr" s="7">
        <is>
          <t/>
        </is>
      </c>
      <c r="G188" t="inlineStr" s="7">
        <is>
          <t/>
        </is>
      </c>
      <c r="H188" t="inlineStr" s="7">
        <is>
          <t/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</row>
    <row r="190" ht="24" customHeight="1">
      <c r="A190" t="inlineStr" s="4">
        <is>
          <t>ID 24 | Ace Trainer - Gavin</t>
        </is>
      </c>
      <c r="B190" t="inlineStr" s="4">
        <is>
          <t>Pokemon 1</t>
        </is>
      </c>
      <c r="C190" t="inlineStr" s="4">
        <is>
          <t>Pokemon 2</t>
        </is>
      </c>
      <c r="D190" t="inlineStr" s="4">
        <is>
          <t>Pokemon 3</t>
        </is>
      </c>
      <c r="E190" t="inlineStr" s="4">
        <is>
          <t>Pokemon 4</t>
        </is>
      </c>
      <c r="F190" t="inlineStr" s="4">
        <is>
          <t>Pokemon 5</t>
        </is>
      </c>
      <c r="G190" t="inlineStr" s="4">
        <is>
          <t>Pokemon 6</t>
        </is>
      </c>
      <c r="H190" t="inlineStr" s="4">
        <is>
          <t>Route 4, verso Newport | Double Battle</t>
        </is>
      </c>
    </row>
    <row r="191" ht="64" customHeight="1">
      <c r="A191" t="inlineStr" s="6">
        <is>
          <t/>
        </is>
      </c>
      <c r="B191" s="6">
        <f>IMAGE("https://img.pokemondb.net/sprites/home/normal/herdier.png")</f>
      </c>
      <c r="C191" s="6">
        <f>IMAGE("https://img.pokemondb.net/sprites/home/normal/vigoroth.png")</f>
      </c>
      <c r="D191" t="inlineStr" s="6">
        <is>
          <t/>
        </is>
      </c>
      <c r="E191" t="inlineStr" s="6">
        <is>
          <t/>
        </is>
      </c>
      <c r="F191" t="inlineStr" s="6">
        <is>
          <t/>
        </is>
      </c>
      <c r="G191" t="inlineStr" s="6">
        <is>
          <t/>
        </is>
      </c>
      <c r="H191" t="inlineStr" s="6">
        <is>
          <t/>
        </is>
      </c>
    </row>
    <row r="192">
      <c r="A192" t="inlineStr" s="5">
        <is>
          <t>Pokemon</t>
        </is>
      </c>
      <c r="B192" t="inlineStr" s="6">
        <is>
          <t>Herdier</t>
        </is>
      </c>
      <c r="C192" t="inlineStr" s="6">
        <is>
          <t>Vigoroth (Ace)</t>
        </is>
      </c>
      <c r="D192" t="inlineStr" s="6">
        <is>
          <t/>
        </is>
      </c>
      <c r="E192" t="inlineStr" s="6">
        <is>
          <t/>
        </is>
      </c>
      <c r="F192" t="inlineStr" s="6">
        <is>
          <t/>
        </is>
      </c>
      <c r="G192" t="inlineStr" s="6">
        <is>
          <t/>
        </is>
      </c>
      <c r="H192" t="inlineStr" s="6">
        <is>
          <t>Items: None</t>
        </is>
      </c>
    </row>
    <row r="193">
      <c r="A193" t="inlineStr" s="5">
        <is>
          <t>Level</t>
        </is>
      </c>
      <c r="B193" t="inlineStr" s="6">
        <is>
          <t>Lv. 14</t>
        </is>
      </c>
      <c r="C193" t="inlineStr" s="6">
        <is>
          <t>Lv. 15</t>
        </is>
      </c>
      <c r="D193" t="inlineStr" s="6">
        <is>
          <t/>
        </is>
      </c>
      <c r="E193" t="inlineStr" s="6">
        <is>
          <t/>
        </is>
      </c>
      <c r="F193" t="inlineStr" s="6">
        <is>
          <t/>
        </is>
      </c>
      <c r="G193" t="inlineStr" s="6">
        <is>
          <t/>
        </is>
      </c>
      <c r="H193" t="inlineStr" s="6">
        <is>
          <t>Team size: 2</t>
        </is>
      </c>
    </row>
    <row r="194">
      <c r="A194" t="inlineStr" s="5">
        <is>
          <t>Held Item</t>
        </is>
      </c>
      <c r="B194" t="inlineStr" s="6">
        <is>
          <t/>
        </is>
      </c>
      <c r="C194" t="inlineStr" s="6">
        <is>
          <t/>
        </is>
      </c>
      <c r="D194" t="inlineStr" s="6">
        <is>
          <t/>
        </is>
      </c>
      <c r="E194" t="inlineStr" s="6">
        <is>
          <t/>
        </is>
      </c>
      <c r="F194" t="inlineStr" s="6">
        <is>
          <t/>
        </is>
      </c>
      <c r="G194" t="inlineStr" s="6">
        <is>
          <t/>
        </is>
      </c>
      <c r="H194" t="inlineStr" s="6">
        <is>
          <t/>
        </is>
      </c>
    </row>
    <row r="195">
      <c r="A195" t="inlineStr" s="5">
        <is>
          <t>Move One</t>
        </is>
      </c>
      <c r="B195" t="inlineStr" s="6">
        <is>
          <t>Leer</t>
        </is>
      </c>
      <c r="C195" t="inlineStr" s="6">
        <is>
          <t>Focus Energy</t>
        </is>
      </c>
      <c r="D195" t="inlineStr" s="6">
        <is>
          <t/>
        </is>
      </c>
      <c r="E195" t="inlineStr" s="6">
        <is>
          <t/>
        </is>
      </c>
      <c r="F195" t="inlineStr" s="6">
        <is>
          <t/>
        </is>
      </c>
      <c r="G195" t="inlineStr" s="6">
        <is>
          <t/>
        </is>
      </c>
      <c r="H195" t="inlineStr" s="6">
        <is>
          <t/>
        </is>
      </c>
    </row>
    <row r="196">
      <c r="A196" t="inlineStr" s="5">
        <is>
          <t>Move Two</t>
        </is>
      </c>
      <c r="B196" t="inlineStr" s="6">
        <is>
          <t>Work Up</t>
        </is>
      </c>
      <c r="C196" t="inlineStr" s="6">
        <is>
          <t>Encore</t>
        </is>
      </c>
      <c r="D196" t="inlineStr" s="6">
        <is>
          <t/>
        </is>
      </c>
      <c r="E196" t="inlineStr" s="6">
        <is>
          <t/>
        </is>
      </c>
      <c r="F196" t="inlineStr" s="6">
        <is>
          <t/>
        </is>
      </c>
      <c r="G196" t="inlineStr" s="6">
        <is>
          <t/>
        </is>
      </c>
      <c r="H196" t="inlineStr" s="6">
        <is>
          <t/>
        </is>
      </c>
    </row>
    <row r="197">
      <c r="A197" t="inlineStr" s="5">
        <is>
          <t>Move Three</t>
        </is>
      </c>
      <c r="B197" t="inlineStr" s="6">
        <is>
          <t>Bite</t>
        </is>
      </c>
      <c r="C197" t="inlineStr" s="6">
        <is>
          <t>Uproar</t>
        </is>
      </c>
      <c r="D197" t="inlineStr" s="6">
        <is>
          <t/>
        </is>
      </c>
      <c r="E197" t="inlineStr" s="6">
        <is>
          <t/>
        </is>
      </c>
      <c r="F197" t="inlineStr" s="6">
        <is>
          <t/>
        </is>
      </c>
      <c r="G197" t="inlineStr" s="6">
        <is>
          <t/>
        </is>
      </c>
      <c r="H197" t="inlineStr" s="6">
        <is>
          <t/>
        </is>
      </c>
    </row>
    <row r="198">
      <c r="A198" t="inlineStr" s="5">
        <is>
          <t>Move Four</t>
        </is>
      </c>
      <c r="B198" t="inlineStr" s="6">
        <is>
          <t>Retaliate</t>
        </is>
      </c>
      <c r="C198" t="inlineStr" s="6">
        <is>
          <t>Fury Swipes</t>
        </is>
      </c>
      <c r="D198" t="inlineStr" s="6">
        <is>
          <t/>
        </is>
      </c>
      <c r="E198" t="inlineStr" s="6">
        <is>
          <t/>
        </is>
      </c>
      <c r="F198" t="inlineStr" s="6">
        <is>
          <t/>
        </is>
      </c>
      <c r="G198" t="inlineStr" s="6">
        <is>
          <t/>
        </is>
      </c>
      <c r="H198" t="inlineStr" s="6">
        <is>
          <t/>
        </is>
      </c>
    </row>
    <row r="199">
      <c r="A199" t="inlineStr" s="5">
        <is>
          <t>Source</t>
        </is>
      </c>
      <c r="B199" t="inlineStr" s="7">
        <is>
          <t>learnset &lt;= L14</t>
        </is>
      </c>
      <c r="C199" t="inlineStr" s="7">
        <is>
          <t>learnset &lt;= L15</t>
        </is>
      </c>
      <c r="D199" t="inlineStr" s="7">
        <is>
          <t/>
        </is>
      </c>
      <c r="E199" t="inlineStr" s="7">
        <is>
          <t/>
        </is>
      </c>
      <c r="F199" t="inlineStr" s="7">
        <is>
          <t/>
        </is>
      </c>
      <c r="G199" t="inlineStr" s="7">
        <is>
          <t/>
        </is>
      </c>
      <c r="H199" t="inlineStr" s="7">
        <is>
          <t/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</row>
    <row r="201" ht="24" customHeight="1">
      <c r="A201" t="inlineStr" s="4">
        <is>
          <t>ID 25 | Poke Kid - Poppy</t>
        </is>
      </c>
      <c r="B201" t="inlineStr" s="4">
        <is>
          <t>Pokemon 1</t>
        </is>
      </c>
      <c r="C201" t="inlineStr" s="4">
        <is>
          <t>Pokemon 2</t>
        </is>
      </c>
      <c r="D201" t="inlineStr" s="4">
        <is>
          <t>Pokemon 3</t>
        </is>
      </c>
      <c r="E201" t="inlineStr" s="4">
        <is>
          <t>Pokemon 4</t>
        </is>
      </c>
      <c r="F201" t="inlineStr" s="4">
        <is>
          <t>Pokemon 5</t>
        </is>
      </c>
      <c r="G201" t="inlineStr" s="4">
        <is>
          <t>Pokemon 6</t>
        </is>
      </c>
      <c r="H201" t="inlineStr" s="4">
        <is>
          <t>Route 4, verso Newport | Double Battle</t>
        </is>
      </c>
    </row>
    <row r="202" ht="64" customHeight="1">
      <c r="A202" t="inlineStr" s="6">
        <is>
          <t/>
        </is>
      </c>
      <c r="B202" s="6">
        <f>IMAGE("https://img.pokemondb.net/sprites/home/normal/dedenne.png")</f>
      </c>
      <c r="C202" s="6">
        <f>IMAGE("https://img.pokemondb.net/sprites/home/normal/dedenne.png")</f>
      </c>
      <c r="D202" s="6">
        <f>IMAGE("https://img.pokemondb.net/sprites/home/normal/dedenne.png")</f>
      </c>
      <c r="E202" s="6">
        <f>IMAGE("https://img.pokemondb.net/sprites/home/normal/dedenne.png")</f>
      </c>
      <c r="F202" s="6">
        <f>IMAGE("https://img.pokemondb.net/sprites/home/normal/pikachu.png")</f>
      </c>
      <c r="G202" t="inlineStr" s="6">
        <is>
          <t/>
        </is>
      </c>
      <c r="H202" t="inlineStr" s="6">
        <is>
          <t/>
        </is>
      </c>
    </row>
    <row r="203">
      <c r="A203" t="inlineStr" s="5">
        <is>
          <t>Pokemon</t>
        </is>
      </c>
      <c r="B203" t="inlineStr" s="6">
        <is>
          <t>Dedenne</t>
        </is>
      </c>
      <c r="C203" t="inlineStr" s="6">
        <is>
          <t>Dedenne</t>
        </is>
      </c>
      <c r="D203" t="inlineStr" s="6">
        <is>
          <t>Dedenne</t>
        </is>
      </c>
      <c r="E203" t="inlineStr" s="6">
        <is>
          <t>Dedenne</t>
        </is>
      </c>
      <c r="F203" t="inlineStr" s="6">
        <is>
          <t>Pikachu (Ace)</t>
        </is>
      </c>
      <c r="G203" t="inlineStr" s="6">
        <is>
          <t/>
        </is>
      </c>
      <c r="H203" t="inlineStr" s="6">
        <is>
          <t>Items: None</t>
        </is>
      </c>
    </row>
    <row r="204">
      <c r="A204" t="inlineStr" s="5">
        <is>
          <t>Level</t>
        </is>
      </c>
      <c r="B204" t="inlineStr" s="6">
        <is>
          <t>Lv. 12</t>
        </is>
      </c>
      <c r="C204" t="inlineStr" s="6">
        <is>
          <t>Lv. 12</t>
        </is>
      </c>
      <c r="D204" t="inlineStr" s="6">
        <is>
          <t>Lv. 12</t>
        </is>
      </c>
      <c r="E204" t="inlineStr" s="6">
        <is>
          <t>Lv. 12</t>
        </is>
      </c>
      <c r="F204" t="inlineStr" s="6">
        <is>
          <t>Lv. 14</t>
        </is>
      </c>
      <c r="G204" t="inlineStr" s="6">
        <is>
          <t/>
        </is>
      </c>
      <c r="H204" t="inlineStr" s="6">
        <is>
          <t>Team size: 5</t>
        </is>
      </c>
    </row>
    <row r="205">
      <c r="A205" t="inlineStr" s="5">
        <is>
          <t>Held Item</t>
        </is>
      </c>
      <c r="B205" t="inlineStr" s="6">
        <is>
          <t/>
        </is>
      </c>
      <c r="C205" t="inlineStr" s="6">
        <is>
          <t/>
        </is>
      </c>
      <c r="D205" t="inlineStr" s="6">
        <is>
          <t/>
        </is>
      </c>
      <c r="E205" t="inlineStr" s="6">
        <is>
          <t/>
        </is>
      </c>
      <c r="F205" t="inlineStr" s="6">
        <is>
          <t/>
        </is>
      </c>
      <c r="G205" t="inlineStr" s="6">
        <is>
          <t/>
        </is>
      </c>
      <c r="H205" t="inlineStr" s="6">
        <is>
          <t/>
        </is>
      </c>
    </row>
    <row r="206">
      <c r="A206" t="inlineStr" s="5">
        <is>
          <t>Move One</t>
        </is>
      </c>
      <c r="B206" t="inlineStr" s="6">
        <is>
          <t>Tail Whip</t>
        </is>
      </c>
      <c r="C206" t="inlineStr" s="6">
        <is>
          <t>Tail Whip</t>
        </is>
      </c>
      <c r="D206" t="inlineStr" s="6">
        <is>
          <t>Tail Whip</t>
        </is>
      </c>
      <c r="E206" t="inlineStr" s="6">
        <is>
          <t>Tail Whip</t>
        </is>
      </c>
      <c r="F206" t="inlineStr" s="6">
        <is>
          <t>Growl</t>
        </is>
      </c>
      <c r="G206" t="inlineStr" s="6">
        <is>
          <t/>
        </is>
      </c>
      <c r="H206" t="inlineStr" s="6">
        <is>
          <t/>
        </is>
      </c>
    </row>
    <row r="207">
      <c r="A207" t="inlineStr" s="5">
        <is>
          <t>Move Two</t>
        </is>
      </c>
      <c r="B207" t="inlineStr" s="6">
        <is>
          <t>Nuzzle</t>
        </is>
      </c>
      <c r="C207" t="inlineStr" s="6">
        <is>
          <t>Nuzzle</t>
        </is>
      </c>
      <c r="D207" t="inlineStr" s="6">
        <is>
          <t>Nuzzle</t>
        </is>
      </c>
      <c r="E207" t="inlineStr" s="6">
        <is>
          <t>Nuzzle</t>
        </is>
      </c>
      <c r="F207" t="inlineStr" s="6">
        <is>
          <t>Thunder Wave</t>
        </is>
      </c>
      <c r="G207" t="inlineStr" s="6">
        <is>
          <t/>
        </is>
      </c>
      <c r="H207" t="inlineStr" s="6">
        <is>
          <t/>
        </is>
      </c>
    </row>
    <row r="208">
      <c r="A208" t="inlineStr" s="5">
        <is>
          <t>Move Three</t>
        </is>
      </c>
      <c r="B208" t="inlineStr" s="6">
        <is>
          <t>Tackle</t>
        </is>
      </c>
      <c r="C208" t="inlineStr" s="6">
        <is>
          <t>Tackle</t>
        </is>
      </c>
      <c r="D208" t="inlineStr" s="6">
        <is>
          <t>Tackle</t>
        </is>
      </c>
      <c r="E208" t="inlineStr" s="6">
        <is>
          <t>Tackle</t>
        </is>
      </c>
      <c r="F208" t="inlineStr" s="6">
        <is>
          <t>Double Team</t>
        </is>
      </c>
      <c r="G208" t="inlineStr" s="6">
        <is>
          <t/>
        </is>
      </c>
      <c r="H208" t="inlineStr" s="6">
        <is>
          <t/>
        </is>
      </c>
    </row>
    <row r="209">
      <c r="A209" t="inlineStr" s="5">
        <is>
          <t>Move Four</t>
        </is>
      </c>
      <c r="B209" t="inlineStr" s="6">
        <is>
          <t>Charge</t>
        </is>
      </c>
      <c r="C209" t="inlineStr" s="6">
        <is>
          <t>Charge</t>
        </is>
      </c>
      <c r="D209" t="inlineStr" s="6">
        <is>
          <t>Charge</t>
        </is>
      </c>
      <c r="E209" t="inlineStr" s="6">
        <is>
          <t>Charge</t>
        </is>
      </c>
      <c r="F209" t="inlineStr" s="6">
        <is>
          <t>Electro Ball</t>
        </is>
      </c>
      <c r="G209" t="inlineStr" s="6">
        <is>
          <t/>
        </is>
      </c>
      <c r="H209" t="inlineStr" s="6">
        <is>
          <t/>
        </is>
      </c>
    </row>
    <row r="210">
      <c r="A210" t="inlineStr" s="5">
        <is>
          <t>Source</t>
        </is>
      </c>
      <c r="B210" t="inlineStr" s="7">
        <is>
          <t>learnset &lt;= L12</t>
        </is>
      </c>
      <c r="C210" t="inlineStr" s="7">
        <is>
          <t>learnset &lt;= L12</t>
        </is>
      </c>
      <c r="D210" t="inlineStr" s="7">
        <is>
          <t>learnset &lt;= L12</t>
        </is>
      </c>
      <c r="E210" t="inlineStr" s="7">
        <is>
          <t>learnset &lt;= L12</t>
        </is>
      </c>
      <c r="F210" t="inlineStr" s="7">
        <is>
          <t>learnset &lt;= L14</t>
        </is>
      </c>
      <c r="G210" t="inlineStr" s="7">
        <is>
          <t/>
        </is>
      </c>
      <c r="H210" t="inlineStr" s="7">
        <is>
          <t/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</row>
    <row r="212" ht="24" customHeight="1">
      <c r="A212" t="inlineStr" s="4">
        <is>
          <t>ID 26 | Black Belt - Takeshi</t>
        </is>
      </c>
      <c r="B212" t="inlineStr" s="4">
        <is>
          <t>Pokemon 1</t>
        </is>
      </c>
      <c r="C212" t="inlineStr" s="4">
        <is>
          <t>Pokemon 2</t>
        </is>
      </c>
      <c r="D212" t="inlineStr" s="4">
        <is>
          <t>Pokemon 3</t>
        </is>
      </c>
      <c r="E212" t="inlineStr" s="4">
        <is>
          <t>Pokemon 4</t>
        </is>
      </c>
      <c r="F212" t="inlineStr" s="4">
        <is>
          <t>Pokemon 5</t>
        </is>
      </c>
      <c r="G212" t="inlineStr" s="4">
        <is>
          <t>Pokemon 6</t>
        </is>
      </c>
      <c r="H212" t="inlineStr" s="4">
        <is>
          <t>Route 4, verso Newport | Double Battle</t>
        </is>
      </c>
    </row>
    <row r="213" ht="64" customHeight="1">
      <c r="A213" t="inlineStr" s="6">
        <is>
          <t/>
        </is>
      </c>
      <c r="B213" s="6">
        <f>IMAGE("https://img.pokemondb.net/sprites/home/normal/pancham.png")</f>
      </c>
      <c r="C213" s="6">
        <f>IMAGE("https://img.pokemondb.net/sprites/home/normal/skiddo.png")</f>
      </c>
      <c r="D213" s="6">
        <f>IMAGE("https://img.pokemondb.net/sprites/home/normal/palpitoad.png")</f>
      </c>
      <c r="E213" t="inlineStr" s="6">
        <is>
          <t/>
        </is>
      </c>
      <c r="F213" t="inlineStr" s="6">
        <is>
          <t/>
        </is>
      </c>
      <c r="G213" t="inlineStr" s="6">
        <is>
          <t/>
        </is>
      </c>
      <c r="H213" t="inlineStr" s="6">
        <is>
          <t/>
        </is>
      </c>
    </row>
    <row r="214">
      <c r="A214" t="inlineStr" s="5">
        <is>
          <t>Pokemon</t>
        </is>
      </c>
      <c r="B214" t="inlineStr" s="6">
        <is>
          <t>Pancham (Ace)</t>
        </is>
      </c>
      <c r="C214" t="inlineStr" s="6">
        <is>
          <t>Skiddo</t>
        </is>
      </c>
      <c r="D214" t="inlineStr" s="6">
        <is>
          <t>Palpitoad</t>
        </is>
      </c>
      <c r="E214" t="inlineStr" s="6">
        <is>
          <t/>
        </is>
      </c>
      <c r="F214" t="inlineStr" s="6">
        <is>
          <t/>
        </is>
      </c>
      <c r="G214" t="inlineStr" s="6">
        <is>
          <t/>
        </is>
      </c>
      <c r="H214" t="inlineStr" s="6">
        <is>
          <t>Items: None</t>
        </is>
      </c>
    </row>
    <row r="215">
      <c r="A215" t="inlineStr" s="5">
        <is>
          <t>Level</t>
        </is>
      </c>
      <c r="B215" t="inlineStr" s="6">
        <is>
          <t>Lv. 15</t>
        </is>
      </c>
      <c r="C215" t="inlineStr" s="6">
        <is>
          <t>Lv. 13</t>
        </is>
      </c>
      <c r="D215" t="inlineStr" s="6">
        <is>
          <t>Lv. 13</t>
        </is>
      </c>
      <c r="E215" t="inlineStr" s="6">
        <is>
          <t/>
        </is>
      </c>
      <c r="F215" t="inlineStr" s="6">
        <is>
          <t/>
        </is>
      </c>
      <c r="G215" t="inlineStr" s="6">
        <is>
          <t/>
        </is>
      </c>
      <c r="H215" t="inlineStr" s="6">
        <is>
          <t>Team size: 3</t>
        </is>
      </c>
    </row>
    <row r="216">
      <c r="A216" t="inlineStr" s="5">
        <is>
          <t>Held Item</t>
        </is>
      </c>
      <c r="B216" t="inlineStr" s="6">
        <is>
          <t/>
        </is>
      </c>
      <c r="C216" t="inlineStr" s="6">
        <is>
          <t/>
        </is>
      </c>
      <c r="D216" t="inlineStr" s="6">
        <is>
          <t/>
        </is>
      </c>
      <c r="E216" t="inlineStr" s="6">
        <is>
          <t/>
        </is>
      </c>
      <c r="F216" t="inlineStr" s="6">
        <is>
          <t/>
        </is>
      </c>
      <c r="G216" t="inlineStr" s="6">
        <is>
          <t/>
        </is>
      </c>
      <c r="H216" t="inlineStr" s="6">
        <is>
          <t/>
        </is>
      </c>
    </row>
    <row r="217">
      <c r="A217" t="inlineStr" s="5">
        <is>
          <t>Move One</t>
        </is>
      </c>
      <c r="B217" t="inlineStr" s="6">
        <is>
          <t>Leer</t>
        </is>
      </c>
      <c r="C217" t="inlineStr" s="6">
        <is>
          <t>Vine Whip</t>
        </is>
      </c>
      <c r="D217" t="inlineStr" s="6">
        <is>
          <t>Growl</t>
        </is>
      </c>
      <c r="E217" t="inlineStr" s="6">
        <is>
          <t/>
        </is>
      </c>
      <c r="F217" t="inlineStr" s="6">
        <is>
          <t/>
        </is>
      </c>
      <c r="G217" t="inlineStr" s="6">
        <is>
          <t/>
        </is>
      </c>
      <c r="H217" t="inlineStr" s="6">
        <is>
          <t/>
        </is>
      </c>
    </row>
    <row r="218">
      <c r="A218" t="inlineStr" s="5">
        <is>
          <t>Move Two</t>
        </is>
      </c>
      <c r="B218" t="inlineStr" s="6">
        <is>
          <t>Arm Thrust</t>
        </is>
      </c>
      <c r="C218" t="inlineStr" s="6">
        <is>
          <t>Tail Whip</t>
        </is>
      </c>
      <c r="D218" t="inlineStr" s="6">
        <is>
          <t>Acid</t>
        </is>
      </c>
      <c r="E218" t="inlineStr" s="6">
        <is>
          <t/>
        </is>
      </c>
      <c r="F218" t="inlineStr" s="6">
        <is>
          <t/>
        </is>
      </c>
      <c r="G218" t="inlineStr" s="6">
        <is>
          <t/>
        </is>
      </c>
      <c r="H218" t="inlineStr" s="6">
        <is>
          <t/>
        </is>
      </c>
    </row>
    <row r="219">
      <c r="A219" t="inlineStr" s="5">
        <is>
          <t>Move Three</t>
        </is>
      </c>
      <c r="B219" t="inlineStr" s="6">
        <is>
          <t>Taunt</t>
        </is>
      </c>
      <c r="C219" t="inlineStr" s="6">
        <is>
          <t>Leech Seed</t>
        </is>
      </c>
      <c r="D219" t="inlineStr" s="6">
        <is>
          <t>Supersonic</t>
        </is>
      </c>
      <c r="E219" t="inlineStr" s="6">
        <is>
          <t/>
        </is>
      </c>
      <c r="F219" t="inlineStr" s="6">
        <is>
          <t/>
        </is>
      </c>
      <c r="G219" t="inlineStr" s="6">
        <is>
          <t/>
        </is>
      </c>
      <c r="H219" t="inlineStr" s="6">
        <is>
          <t/>
        </is>
      </c>
    </row>
    <row r="220">
      <c r="A220" t="inlineStr" s="5">
        <is>
          <t>Move Four</t>
        </is>
      </c>
      <c r="B220" t="inlineStr" s="6">
        <is>
          <t>Circle Throw</t>
        </is>
      </c>
      <c r="C220" t="inlineStr" s="6">
        <is>
          <t>Razor Leaf</t>
        </is>
      </c>
      <c r="D220" t="inlineStr" s="6">
        <is>
          <t>Mud Shot</t>
        </is>
      </c>
      <c r="E220" t="inlineStr" s="6">
        <is>
          <t/>
        </is>
      </c>
      <c r="F220" t="inlineStr" s="6">
        <is>
          <t/>
        </is>
      </c>
      <c r="G220" t="inlineStr" s="6">
        <is>
          <t/>
        </is>
      </c>
      <c r="H220" t="inlineStr" s="6">
        <is>
          <t/>
        </is>
      </c>
    </row>
    <row r="221">
      <c r="A221" t="inlineStr" s="5">
        <is>
          <t>Source</t>
        </is>
      </c>
      <c r="B221" t="inlineStr" s="7">
        <is>
          <t>learnset &lt;= L15</t>
        </is>
      </c>
      <c r="C221" t="inlineStr" s="7">
        <is>
          <t>learnset &lt;= L13</t>
        </is>
      </c>
      <c r="D221" t="inlineStr" s="7">
        <is>
          <t>learnset &lt;= L13</t>
        </is>
      </c>
      <c r="E221" t="inlineStr" s="7">
        <is>
          <t/>
        </is>
      </c>
      <c r="F221" t="inlineStr" s="7">
        <is>
          <t/>
        </is>
      </c>
      <c r="G221" t="inlineStr" s="7">
        <is>
          <t/>
        </is>
      </c>
      <c r="H221" t="inlineStr" s="7">
        <is>
          <t/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</row>
    <row r="223" ht="24" customHeight="1">
      <c r="A223" t="inlineStr" s="4">
        <is>
          <t>ID 27 | Bird Keeper - Corbin</t>
        </is>
      </c>
      <c r="B223" t="inlineStr" s="4">
        <is>
          <t>Pokemon 1</t>
        </is>
      </c>
      <c r="C223" t="inlineStr" s="4">
        <is>
          <t>Pokemon 2</t>
        </is>
      </c>
      <c r="D223" t="inlineStr" s="4">
        <is>
          <t>Pokemon 3</t>
        </is>
      </c>
      <c r="E223" t="inlineStr" s="4">
        <is>
          <t>Pokemon 4</t>
        </is>
      </c>
      <c r="F223" t="inlineStr" s="4">
        <is>
          <t>Pokemon 5</t>
        </is>
      </c>
      <c r="G223" t="inlineStr" s="4">
        <is>
          <t>Pokemon 6</t>
        </is>
      </c>
      <c r="H223" t="inlineStr" s="4">
        <is>
          <t>Route 4, verso Newport | Double Battle</t>
        </is>
      </c>
    </row>
    <row r="224" ht="64" customHeight="1">
      <c r="A224" t="inlineStr" s="6">
        <is>
          <t/>
        </is>
      </c>
      <c r="B224" s="6">
        <f>IMAGE("https://img.pokemondb.net/sprites/home/normal/noctowl.png")</f>
      </c>
      <c r="C224" s="6">
        <f>IMAGE("https://img.pokemondb.net/sprites/home/normal/skarmory.png")</f>
      </c>
      <c r="D224" t="inlineStr" s="6">
        <is>
          <t/>
        </is>
      </c>
      <c r="E224" t="inlineStr" s="6">
        <is>
          <t/>
        </is>
      </c>
      <c r="F224" t="inlineStr" s="6">
        <is>
          <t/>
        </is>
      </c>
      <c r="G224" t="inlineStr" s="6">
        <is>
          <t/>
        </is>
      </c>
      <c r="H224" t="inlineStr" s="6">
        <is>
          <t/>
        </is>
      </c>
    </row>
    <row r="225">
      <c r="A225" t="inlineStr" s="5">
        <is>
          <t>Pokemon</t>
        </is>
      </c>
      <c r="B225" t="inlineStr" s="6">
        <is>
          <t>Noctowl</t>
        </is>
      </c>
      <c r="C225" t="inlineStr" s="6">
        <is>
          <t>Skarmory (Ace)</t>
        </is>
      </c>
      <c r="D225" t="inlineStr" s="6">
        <is>
          <t/>
        </is>
      </c>
      <c r="E225" t="inlineStr" s="6">
        <is>
          <t/>
        </is>
      </c>
      <c r="F225" t="inlineStr" s="6">
        <is>
          <t/>
        </is>
      </c>
      <c r="G225" t="inlineStr" s="6">
        <is>
          <t/>
        </is>
      </c>
      <c r="H225" t="inlineStr" s="6">
        <is>
          <t>Items: None</t>
        </is>
      </c>
    </row>
    <row r="226">
      <c r="A226" t="inlineStr" s="5">
        <is>
          <t>Level</t>
        </is>
      </c>
      <c r="B226" t="inlineStr" s="6">
        <is>
          <t>Lv. 14</t>
        </is>
      </c>
      <c r="C226" t="inlineStr" s="6">
        <is>
          <t>Lv. 16</t>
        </is>
      </c>
      <c r="D226" t="inlineStr" s="6">
        <is>
          <t/>
        </is>
      </c>
      <c r="E226" t="inlineStr" s="6">
        <is>
          <t/>
        </is>
      </c>
      <c r="F226" t="inlineStr" s="6">
        <is>
          <t/>
        </is>
      </c>
      <c r="G226" t="inlineStr" s="6">
        <is>
          <t/>
        </is>
      </c>
      <c r="H226" t="inlineStr" s="6">
        <is>
          <t>Team size: 2</t>
        </is>
      </c>
    </row>
    <row r="227">
      <c r="A227" t="inlineStr" s="5">
        <is>
          <t>Held Item</t>
        </is>
      </c>
      <c r="B227" t="inlineStr" s="6">
        <is>
          <t/>
        </is>
      </c>
      <c r="C227" t="inlineStr" s="6">
        <is>
          <t/>
        </is>
      </c>
      <c r="D227" t="inlineStr" s="6">
        <is>
          <t/>
        </is>
      </c>
      <c r="E227" t="inlineStr" s="6">
        <is>
          <t/>
        </is>
      </c>
      <c r="F227" t="inlineStr" s="6">
        <is>
          <t/>
        </is>
      </c>
      <c r="G227" t="inlineStr" s="6">
        <is>
          <t/>
        </is>
      </c>
      <c r="H227" t="inlineStr" s="6">
        <is>
          <t/>
        </is>
      </c>
    </row>
    <row r="228">
      <c r="A228" t="inlineStr" s="5">
        <is>
          <t>Move One</t>
        </is>
      </c>
      <c r="B228" t="inlineStr" s="6">
        <is>
          <t>Sky Attack</t>
        </is>
      </c>
      <c r="C228" t="inlineStr" s="6">
        <is>
          <t>Sand Attack</t>
        </is>
      </c>
      <c r="D228" t="inlineStr" s="6">
        <is>
          <t/>
        </is>
      </c>
      <c r="E228" t="inlineStr" s="6">
        <is>
          <t/>
        </is>
      </c>
      <c r="F228" t="inlineStr" s="6">
        <is>
          <t/>
        </is>
      </c>
      <c r="G228" t="inlineStr" s="6">
        <is>
          <t/>
        </is>
      </c>
      <c r="H228" t="inlineStr" s="6">
        <is>
          <t/>
        </is>
      </c>
    </row>
    <row r="229">
      <c r="A229" t="inlineStr" s="5">
        <is>
          <t>Move Two</t>
        </is>
      </c>
      <c r="B229" t="inlineStr" s="6">
        <is>
          <t>Echoed Voice</t>
        </is>
      </c>
      <c r="C229" t="inlineStr" s="6">
        <is>
          <t>Fury Attack</t>
        </is>
      </c>
      <c r="D229" t="inlineStr" s="6">
        <is>
          <t/>
        </is>
      </c>
      <c r="E229" t="inlineStr" s="6">
        <is>
          <t/>
        </is>
      </c>
      <c r="F229" t="inlineStr" s="6">
        <is>
          <t/>
        </is>
      </c>
      <c r="G229" t="inlineStr" s="6">
        <is>
          <t/>
        </is>
      </c>
      <c r="H229" t="inlineStr" s="6">
        <is>
          <t/>
        </is>
      </c>
    </row>
    <row r="230">
      <c r="A230" t="inlineStr" s="5">
        <is>
          <t>Move Three</t>
        </is>
      </c>
      <c r="B230" t="inlineStr" s="6">
        <is>
          <t>Confusion</t>
        </is>
      </c>
      <c r="C230" t="inlineStr" s="6">
        <is>
          <t>Metal Claw</t>
        </is>
      </c>
      <c r="D230" t="inlineStr" s="6">
        <is>
          <t/>
        </is>
      </c>
      <c r="E230" t="inlineStr" s="6">
        <is>
          <t/>
        </is>
      </c>
      <c r="F230" t="inlineStr" s="6">
        <is>
          <t/>
        </is>
      </c>
      <c r="G230" t="inlineStr" s="6">
        <is>
          <t/>
        </is>
      </c>
      <c r="H230" t="inlineStr" s="6">
        <is>
          <t/>
        </is>
      </c>
    </row>
    <row r="231">
      <c r="A231" t="inlineStr" s="5">
        <is>
          <t>Move Four</t>
        </is>
      </c>
      <c r="B231" t="inlineStr" s="6">
        <is>
          <t>Reflect</t>
        </is>
      </c>
      <c r="C231" t="inlineStr" s="6">
        <is>
          <t>Agility</t>
        </is>
      </c>
      <c r="D231" t="inlineStr" s="6">
        <is>
          <t/>
        </is>
      </c>
      <c r="E231" t="inlineStr" s="6">
        <is>
          <t/>
        </is>
      </c>
      <c r="F231" t="inlineStr" s="6">
        <is>
          <t/>
        </is>
      </c>
      <c r="G231" t="inlineStr" s="6">
        <is>
          <t/>
        </is>
      </c>
      <c r="H231" t="inlineStr" s="6">
        <is>
          <t/>
        </is>
      </c>
    </row>
    <row r="232">
      <c r="A232" t="inlineStr" s="5">
        <is>
          <t>Source</t>
        </is>
      </c>
      <c r="B232" t="inlineStr" s="7">
        <is>
          <t>learnset &lt;= L14</t>
        </is>
      </c>
      <c r="C232" t="inlineStr" s="7">
        <is>
          <t>learnset &lt;= L16</t>
        </is>
      </c>
      <c r="D232" t="inlineStr" s="7">
        <is>
          <t/>
        </is>
      </c>
      <c r="E232" t="inlineStr" s="7">
        <is>
          <t/>
        </is>
      </c>
      <c r="F232" t="inlineStr" s="7">
        <is>
          <t/>
        </is>
      </c>
      <c r="G232" t="inlineStr" s="7">
        <is>
          <t/>
        </is>
      </c>
      <c r="H232" t="inlineStr" s="7">
        <is>
          <t/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</row>
    <row r="234" ht="24" customHeight="1">
      <c r="A234" t="inlineStr" s="4">
        <is>
          <t>ID 28 | Bug Catcher - Milo</t>
        </is>
      </c>
      <c r="B234" t="inlineStr" s="4">
        <is>
          <t>Pokemon 1</t>
        </is>
      </c>
      <c r="C234" t="inlineStr" s="4">
        <is>
          <t>Pokemon 2</t>
        </is>
      </c>
      <c r="D234" t="inlineStr" s="4">
        <is>
          <t>Pokemon 3</t>
        </is>
      </c>
      <c r="E234" t="inlineStr" s="4">
        <is>
          <t>Pokemon 4</t>
        </is>
      </c>
      <c r="F234" t="inlineStr" s="4">
        <is>
          <t>Pokemon 5</t>
        </is>
      </c>
      <c r="G234" t="inlineStr" s="4">
        <is>
          <t>Pokemon 6</t>
        </is>
      </c>
      <c r="H234" t="inlineStr" s="4">
        <is>
          <t>Route 4, verso Newport | Double Battle</t>
        </is>
      </c>
    </row>
    <row r="235" ht="64" customHeight="1">
      <c r="A235" t="inlineStr" s="6">
        <is>
          <t/>
        </is>
      </c>
      <c r="B235" s="6">
        <f>IMAGE("https://img.pokemondb.net/sprites/home/normal/dunsparce.png")</f>
      </c>
      <c r="C235" s="6">
        <f>IMAGE("https://img.pokemondb.net/sprites/home/normal/ferroseed.png")</f>
      </c>
      <c r="D235" s="6">
        <f>IMAGE("https://img.pokemondb.net/sprites/home/normal/heracross.png")</f>
      </c>
      <c r="E235" t="inlineStr" s="6">
        <is>
          <t/>
        </is>
      </c>
      <c r="F235" t="inlineStr" s="6">
        <is>
          <t/>
        </is>
      </c>
      <c r="G235" t="inlineStr" s="6">
        <is>
          <t/>
        </is>
      </c>
      <c r="H235" t="inlineStr" s="6">
        <is>
          <t/>
        </is>
      </c>
    </row>
    <row r="236">
      <c r="A236" t="inlineStr" s="5">
        <is>
          <t>Pokemon</t>
        </is>
      </c>
      <c r="B236" t="inlineStr" s="6">
        <is>
          <t>Dunsparce</t>
        </is>
      </c>
      <c r="C236" t="inlineStr" s="6">
        <is>
          <t>Ferroseed</t>
        </is>
      </c>
      <c r="D236" t="inlineStr" s="6">
        <is>
          <t>Heracross (Ace)</t>
        </is>
      </c>
      <c r="E236" t="inlineStr" s="6">
        <is>
          <t/>
        </is>
      </c>
      <c r="F236" t="inlineStr" s="6">
        <is>
          <t/>
        </is>
      </c>
      <c r="G236" t="inlineStr" s="6">
        <is>
          <t/>
        </is>
      </c>
      <c r="H236" t="inlineStr" s="6">
        <is>
          <t>Items: None</t>
        </is>
      </c>
    </row>
    <row r="237">
      <c r="A237" t="inlineStr" s="5">
        <is>
          <t>Level</t>
        </is>
      </c>
      <c r="B237" t="inlineStr" s="6">
        <is>
          <t>Lv. 13</t>
        </is>
      </c>
      <c r="C237" t="inlineStr" s="6">
        <is>
          <t>Lv. 14</t>
        </is>
      </c>
      <c r="D237" t="inlineStr" s="6">
        <is>
          <t>Lv. 15</t>
        </is>
      </c>
      <c r="E237" t="inlineStr" s="6">
        <is>
          <t/>
        </is>
      </c>
      <c r="F237" t="inlineStr" s="6">
        <is>
          <t/>
        </is>
      </c>
      <c r="G237" t="inlineStr" s="6">
        <is>
          <t/>
        </is>
      </c>
      <c r="H237" t="inlineStr" s="6">
        <is>
          <t>Team size: 3</t>
        </is>
      </c>
    </row>
    <row r="238">
      <c r="A238" t="inlineStr" s="5">
        <is>
          <t>Held Item</t>
        </is>
      </c>
      <c r="B238" t="inlineStr" s="6">
        <is>
          <t/>
        </is>
      </c>
      <c r="C238" t="inlineStr" s="6">
        <is>
          <t/>
        </is>
      </c>
      <c r="D238" t="inlineStr" s="6">
        <is>
          <t/>
        </is>
      </c>
      <c r="E238" t="inlineStr" s="6">
        <is>
          <t/>
        </is>
      </c>
      <c r="F238" t="inlineStr" s="6">
        <is>
          <t/>
        </is>
      </c>
      <c r="G238" t="inlineStr" s="6">
        <is>
          <t/>
        </is>
      </c>
      <c r="H238" t="inlineStr" s="6">
        <is>
          <t/>
        </is>
      </c>
    </row>
    <row r="239">
      <c r="A239" t="inlineStr" s="5">
        <is>
          <t>Move One</t>
        </is>
      </c>
      <c r="B239" t="inlineStr" s="6">
        <is>
          <t>Flail</t>
        </is>
      </c>
      <c r="C239" t="inlineStr" s="6">
        <is>
          <t>Tackle</t>
        </is>
      </c>
      <c r="D239" t="inlineStr" s="6">
        <is>
          <t>Arm Thrust</t>
        </is>
      </c>
      <c r="E239" t="inlineStr" s="6">
        <is>
          <t/>
        </is>
      </c>
      <c r="F239" t="inlineStr" s="6">
        <is>
          <t/>
        </is>
      </c>
      <c r="G239" t="inlineStr" s="6">
        <is>
          <t/>
        </is>
      </c>
      <c r="H239" t="inlineStr" s="6">
        <is>
          <t/>
        </is>
      </c>
    </row>
    <row r="240">
      <c r="A240" t="inlineStr" s="5">
        <is>
          <t>Move Two</t>
        </is>
      </c>
      <c r="B240" t="inlineStr" s="6">
        <is>
          <t>Mud Slap</t>
        </is>
      </c>
      <c r="C240" t="inlineStr" s="6">
        <is>
          <t>Harden</t>
        </is>
      </c>
      <c r="D240" t="inlineStr" s="6">
        <is>
          <t>Fury Attack</t>
        </is>
      </c>
      <c r="E240" t="inlineStr" s="6">
        <is>
          <t/>
        </is>
      </c>
      <c r="F240" t="inlineStr" s="6">
        <is>
          <t/>
        </is>
      </c>
      <c r="G240" t="inlineStr" s="6">
        <is>
          <t/>
        </is>
      </c>
      <c r="H240" t="inlineStr" s="6">
        <is>
          <t/>
        </is>
      </c>
    </row>
    <row r="241">
      <c r="A241" t="inlineStr" s="5">
        <is>
          <t>Move Three</t>
        </is>
      </c>
      <c r="B241" t="inlineStr" s="6">
        <is>
          <t>Rollout</t>
        </is>
      </c>
      <c r="C241" t="inlineStr" s="6">
        <is>
          <t>Metal Claw</t>
        </is>
      </c>
      <c r="D241" t="inlineStr" s="6">
        <is>
          <t>Endure</t>
        </is>
      </c>
      <c r="E241" t="inlineStr" s="6">
        <is>
          <t/>
        </is>
      </c>
      <c r="F241" t="inlineStr" s="6">
        <is>
          <t/>
        </is>
      </c>
      <c r="G241" t="inlineStr" s="6">
        <is>
          <t/>
        </is>
      </c>
      <c r="H241" t="inlineStr" s="6">
        <is>
          <t/>
        </is>
      </c>
    </row>
    <row r="242">
      <c r="A242" t="inlineStr" s="5">
        <is>
          <t>Move Four</t>
        </is>
      </c>
      <c r="B242" t="inlineStr" s="6">
        <is>
          <t>Glare</t>
        </is>
      </c>
      <c r="C242" t="inlineStr" s="6">
        <is>
          <t>Pin Missile</t>
        </is>
      </c>
      <c r="D242" t="inlineStr" s="6">
        <is>
          <t>Aerial Ace</t>
        </is>
      </c>
      <c r="E242" t="inlineStr" s="6">
        <is>
          <t/>
        </is>
      </c>
      <c r="F242" t="inlineStr" s="6">
        <is>
          <t/>
        </is>
      </c>
      <c r="G242" t="inlineStr" s="6">
        <is>
          <t/>
        </is>
      </c>
      <c r="H242" t="inlineStr" s="6">
        <is>
          <t/>
        </is>
      </c>
    </row>
    <row r="243">
      <c r="A243" t="inlineStr" s="5">
        <is>
          <t>Source</t>
        </is>
      </c>
      <c r="B243" t="inlineStr" s="7">
        <is>
          <t>learnset &lt;= L13</t>
        </is>
      </c>
      <c r="C243" t="inlineStr" s="7">
        <is>
          <t>learnset &lt;= L14</t>
        </is>
      </c>
      <c r="D243" t="inlineStr" s="7">
        <is>
          <t>learnset &lt;= L15</t>
        </is>
      </c>
      <c r="E243" t="inlineStr" s="7">
        <is>
          <t/>
        </is>
      </c>
      <c r="F243" t="inlineStr" s="7">
        <is>
          <t/>
        </is>
      </c>
      <c r="G243" t="inlineStr" s="7">
        <is>
          <t/>
        </is>
      </c>
      <c r="H243" t="inlineStr" s="7">
        <is>
          <t/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</row>
    <row r="245" ht="24" customHeight="1">
      <c r="A245" t="inlineStr" s="4">
        <is>
          <t>ID 29 | Sailor - Ronan</t>
        </is>
      </c>
      <c r="B245" t="inlineStr" s="4">
        <is>
          <t>Pokemon 1</t>
        </is>
      </c>
      <c r="C245" t="inlineStr" s="4">
        <is>
          <t>Pokemon 2</t>
        </is>
      </c>
      <c r="D245" t="inlineStr" s="4">
        <is>
          <t>Pokemon 3</t>
        </is>
      </c>
      <c r="E245" t="inlineStr" s="4">
        <is>
          <t>Pokemon 4</t>
        </is>
      </c>
      <c r="F245" t="inlineStr" s="4">
        <is>
          <t>Pokemon 5</t>
        </is>
      </c>
      <c r="G245" t="inlineStr" s="4">
        <is>
          <t>Pokemon 6</t>
        </is>
      </c>
      <c r="H245" t="inlineStr" s="4">
        <is>
          <t>Route 4, verso Newport | Double Battle</t>
        </is>
      </c>
    </row>
    <row r="246" ht="64" customHeight="1">
      <c r="A246" t="inlineStr" s="6">
        <is>
          <t/>
        </is>
      </c>
      <c r="B246" s="6">
        <f>IMAGE("https://img.pokemondb.net/sprites/home/normal/vaporeon.png")</f>
      </c>
      <c r="C246" s="6">
        <f>IMAGE("https://img.pokemondb.net/sprites/home/normal/lumineon.png")</f>
      </c>
      <c r="D246" t="inlineStr" s="6">
        <is>
          <t/>
        </is>
      </c>
      <c r="E246" t="inlineStr" s="6">
        <is>
          <t/>
        </is>
      </c>
      <c r="F246" t="inlineStr" s="6">
        <is>
          <t/>
        </is>
      </c>
      <c r="G246" t="inlineStr" s="6">
        <is>
          <t/>
        </is>
      </c>
      <c r="H246" t="inlineStr" s="6">
        <is>
          <t/>
        </is>
      </c>
    </row>
    <row r="247">
      <c r="A247" t="inlineStr" s="5">
        <is>
          <t>Pokemon</t>
        </is>
      </c>
      <c r="B247" t="inlineStr" s="6">
        <is>
          <t>Vaporeon</t>
        </is>
      </c>
      <c r="C247" t="inlineStr" s="6">
        <is>
          <t>Lumineon (Ace)</t>
        </is>
      </c>
      <c r="D247" t="inlineStr" s="6">
        <is>
          <t/>
        </is>
      </c>
      <c r="E247" t="inlineStr" s="6">
        <is>
          <t/>
        </is>
      </c>
      <c r="F247" t="inlineStr" s="6">
        <is>
          <t/>
        </is>
      </c>
      <c r="G247" t="inlineStr" s="6">
        <is>
          <t/>
        </is>
      </c>
      <c r="H247" t="inlineStr" s="6">
        <is>
          <t>Items: None</t>
        </is>
      </c>
    </row>
    <row r="248">
      <c r="A248" t="inlineStr" s="5">
        <is>
          <t>Level</t>
        </is>
      </c>
      <c r="B248" t="inlineStr" s="6">
        <is>
          <t>Lv. 14</t>
        </is>
      </c>
      <c r="C248" t="inlineStr" s="6">
        <is>
          <t>Lv. 15</t>
        </is>
      </c>
      <c r="D248" t="inlineStr" s="6">
        <is>
          <t/>
        </is>
      </c>
      <c r="E248" t="inlineStr" s="6">
        <is>
          <t/>
        </is>
      </c>
      <c r="F248" t="inlineStr" s="6">
        <is>
          <t/>
        </is>
      </c>
      <c r="G248" t="inlineStr" s="6">
        <is>
          <t/>
        </is>
      </c>
      <c r="H248" t="inlineStr" s="6">
        <is>
          <t>Team size: 2</t>
        </is>
      </c>
    </row>
    <row r="249">
      <c r="A249" t="inlineStr" s="5">
        <is>
          <t>Held Item</t>
        </is>
      </c>
      <c r="B249" t="inlineStr" s="6">
        <is>
          <t/>
        </is>
      </c>
      <c r="C249" t="inlineStr" s="6">
        <is>
          <t/>
        </is>
      </c>
      <c r="D249" t="inlineStr" s="6">
        <is>
          <t/>
        </is>
      </c>
      <c r="E249" t="inlineStr" s="6">
        <is>
          <t/>
        </is>
      </c>
      <c r="F249" t="inlineStr" s="6">
        <is>
          <t/>
        </is>
      </c>
      <c r="G249" t="inlineStr" s="6">
        <is>
          <t/>
        </is>
      </c>
      <c r="H249" t="inlineStr" s="6">
        <is>
          <t/>
        </is>
      </c>
    </row>
    <row r="250">
      <c r="A250" t="inlineStr" s="5">
        <is>
          <t>Move One</t>
        </is>
      </c>
      <c r="B250" t="inlineStr" s="6">
        <is>
          <t>Baton Pass</t>
        </is>
      </c>
      <c r="C250" t="inlineStr" s="6">
        <is>
          <t>Gust</t>
        </is>
      </c>
      <c r="D250" t="inlineStr" s="6">
        <is>
          <t/>
        </is>
      </c>
      <c r="E250" t="inlineStr" s="6">
        <is>
          <t/>
        </is>
      </c>
      <c r="F250" t="inlineStr" s="6">
        <is>
          <t/>
        </is>
      </c>
      <c r="G250" t="inlineStr" s="6">
        <is>
          <t/>
        </is>
      </c>
      <c r="H250" t="inlineStr" s="6">
        <is>
          <t/>
        </is>
      </c>
    </row>
    <row r="251">
      <c r="A251" t="inlineStr" s="5">
        <is>
          <t>Move Two</t>
        </is>
      </c>
      <c r="B251" t="inlineStr" s="6">
        <is>
          <t>Charm</t>
        </is>
      </c>
      <c r="C251" t="inlineStr" s="6">
        <is>
          <t>Water Gun</t>
        </is>
      </c>
      <c r="D251" t="inlineStr" s="6">
        <is>
          <t/>
        </is>
      </c>
      <c r="E251" t="inlineStr" s="6">
        <is>
          <t/>
        </is>
      </c>
      <c r="F251" t="inlineStr" s="6">
        <is>
          <t/>
        </is>
      </c>
      <c r="G251" t="inlineStr" s="6">
        <is>
          <t/>
        </is>
      </c>
      <c r="H251" t="inlineStr" s="6">
        <is>
          <t/>
        </is>
      </c>
    </row>
    <row r="252">
      <c r="A252" t="inlineStr" s="5">
        <is>
          <t>Move Three</t>
        </is>
      </c>
      <c r="B252" t="inlineStr" s="6">
        <is>
          <t>Sand Attack</t>
        </is>
      </c>
      <c r="C252" t="inlineStr" s="6">
        <is>
          <t>Soak</t>
        </is>
      </c>
      <c r="D252" t="inlineStr" s="6">
        <is>
          <t/>
        </is>
      </c>
      <c r="E252" t="inlineStr" s="6">
        <is>
          <t/>
        </is>
      </c>
      <c r="F252" t="inlineStr" s="6">
        <is>
          <t/>
        </is>
      </c>
      <c r="G252" t="inlineStr" s="6">
        <is>
          <t/>
        </is>
      </c>
      <c r="H252" t="inlineStr" s="6">
        <is>
          <t/>
        </is>
      </c>
    </row>
    <row r="253">
      <c r="A253" t="inlineStr" s="5">
        <is>
          <t>Move Four</t>
        </is>
      </c>
      <c r="B253" t="inlineStr" s="6">
        <is>
          <t>Quick Attack</t>
        </is>
      </c>
      <c r="C253" t="inlineStr" s="6">
        <is>
          <t>Rain Dance</t>
        </is>
      </c>
      <c r="D253" t="inlineStr" s="6">
        <is>
          <t/>
        </is>
      </c>
      <c r="E253" t="inlineStr" s="6">
        <is>
          <t/>
        </is>
      </c>
      <c r="F253" t="inlineStr" s="6">
        <is>
          <t/>
        </is>
      </c>
      <c r="G253" t="inlineStr" s="6">
        <is>
          <t/>
        </is>
      </c>
      <c r="H253" t="inlineStr" s="6">
        <is>
          <t/>
        </is>
      </c>
    </row>
    <row r="254">
      <c r="A254" t="inlineStr" s="5">
        <is>
          <t>Source</t>
        </is>
      </c>
      <c r="B254" t="inlineStr" s="7">
        <is>
          <t>learnset &lt;= L14</t>
        </is>
      </c>
      <c r="C254" t="inlineStr" s="7">
        <is>
          <t>learnset &lt;= L15</t>
        </is>
      </c>
      <c r="D254" t="inlineStr" s="7">
        <is>
          <t/>
        </is>
      </c>
      <c r="E254" t="inlineStr" s="7">
        <is>
          <t/>
        </is>
      </c>
      <c r="F254" t="inlineStr" s="7">
        <is>
          <t/>
        </is>
      </c>
      <c r="G254" t="inlineStr" s="7">
        <is>
          <t/>
        </is>
      </c>
      <c r="H254" t="inlineStr" s="7">
        <is>
          <t/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</row>
    <row r="256" ht="24" customHeight="1">
      <c r="A256" t="inlineStr" s="4">
        <is>
          <t>ID 36 | Black Belt - Daichi</t>
        </is>
      </c>
      <c r="B256" t="inlineStr" s="4">
        <is>
          <t>Pokemon 1</t>
        </is>
      </c>
      <c r="C256" t="inlineStr" s="4">
        <is>
          <t>Pokemon 2</t>
        </is>
      </c>
      <c r="D256" t="inlineStr" s="4">
        <is>
          <t>Pokemon 3</t>
        </is>
      </c>
      <c r="E256" t="inlineStr" s="4">
        <is>
          <t>Pokemon 4</t>
        </is>
      </c>
      <c r="F256" t="inlineStr" s="4">
        <is>
          <t>Pokemon 5</t>
        </is>
      </c>
      <c r="G256" t="inlineStr" s="4">
        <is>
          <t>Pokemon 6</t>
        </is>
      </c>
      <c r="H256" t="inlineStr" s="4">
        <is>
          <t>Route 4, verso Newport, script battle Hitmonlee | Single Battle</t>
        </is>
      </c>
    </row>
    <row r="257" ht="64" customHeight="1">
      <c r="A257" t="inlineStr" s="6">
        <is>
          <t/>
        </is>
      </c>
      <c r="B257" s="6">
        <f>IMAGE("https://img.pokemondb.net/sprites/home/normal/hitmonlee.png")</f>
      </c>
      <c r="C257" t="inlineStr" s="6">
        <is>
          <t/>
        </is>
      </c>
      <c r="D257" t="inlineStr" s="6">
        <is>
          <t/>
        </is>
      </c>
      <c r="E257" t="inlineStr" s="6">
        <is>
          <t/>
        </is>
      </c>
      <c r="F257" t="inlineStr" s="6">
        <is>
          <t/>
        </is>
      </c>
      <c r="G257" t="inlineStr" s="6">
        <is>
          <t/>
        </is>
      </c>
      <c r="H257" t="inlineStr" s="6">
        <is>
          <t/>
        </is>
      </c>
    </row>
    <row r="258">
      <c r="A258" t="inlineStr" s="5">
        <is>
          <t>Pokemon</t>
        </is>
      </c>
      <c r="B258" t="inlineStr" s="6">
        <is>
          <t>Hitmonlee</t>
        </is>
      </c>
      <c r="C258" t="inlineStr" s="6">
        <is>
          <t/>
        </is>
      </c>
      <c r="D258" t="inlineStr" s="6">
        <is>
          <t/>
        </is>
      </c>
      <c r="E258" t="inlineStr" s="6">
        <is>
          <t/>
        </is>
      </c>
      <c r="F258" t="inlineStr" s="6">
        <is>
          <t/>
        </is>
      </c>
      <c r="G258" t="inlineStr" s="6">
        <is>
          <t/>
        </is>
      </c>
      <c r="H258" t="inlineStr" s="6">
        <is>
          <t>Items: None</t>
        </is>
      </c>
    </row>
    <row r="259">
      <c r="A259" t="inlineStr" s="5">
        <is>
          <t>Level</t>
        </is>
      </c>
      <c r="B259" t="inlineStr" s="6">
        <is>
          <t>Lv. 20</t>
        </is>
      </c>
      <c r="C259" t="inlineStr" s="6">
        <is>
          <t/>
        </is>
      </c>
      <c r="D259" t="inlineStr" s="6">
        <is>
          <t/>
        </is>
      </c>
      <c r="E259" t="inlineStr" s="6">
        <is>
          <t/>
        </is>
      </c>
      <c r="F259" t="inlineStr" s="6">
        <is>
          <t/>
        </is>
      </c>
      <c r="G259" t="inlineStr" s="6">
        <is>
          <t/>
        </is>
      </c>
      <c r="H259" t="inlineStr" s="6">
        <is>
          <t>Team size: 1</t>
        </is>
      </c>
    </row>
    <row r="260">
      <c r="A260" t="inlineStr" s="5">
        <is>
          <t>Held Item</t>
        </is>
      </c>
      <c r="B260" t="inlineStr" s="6">
        <is>
          <t/>
        </is>
      </c>
      <c r="C260" t="inlineStr" s="6">
        <is>
          <t/>
        </is>
      </c>
      <c r="D260" t="inlineStr" s="6">
        <is>
          <t/>
        </is>
      </c>
      <c r="E260" t="inlineStr" s="6">
        <is>
          <t/>
        </is>
      </c>
      <c r="F260" t="inlineStr" s="6">
        <is>
          <t/>
        </is>
      </c>
      <c r="G260" t="inlineStr" s="6">
        <is>
          <t/>
        </is>
      </c>
      <c r="H260" t="inlineStr" s="6">
        <is>
          <t/>
        </is>
      </c>
    </row>
    <row r="261">
      <c r="A261" t="inlineStr" s="5">
        <is>
          <t>Move One</t>
        </is>
      </c>
      <c r="B261" t="inlineStr" s="6">
        <is>
          <t>Double Kick</t>
        </is>
      </c>
      <c r="C261" t="inlineStr" s="6">
        <is>
          <t/>
        </is>
      </c>
      <c r="D261" t="inlineStr" s="6">
        <is>
          <t/>
        </is>
      </c>
      <c r="E261" t="inlineStr" s="6">
        <is>
          <t/>
        </is>
      </c>
      <c r="F261" t="inlineStr" s="6">
        <is>
          <t/>
        </is>
      </c>
      <c r="G261" t="inlineStr" s="6">
        <is>
          <t/>
        </is>
      </c>
      <c r="H261" t="inlineStr" s="6">
        <is>
          <t/>
        </is>
      </c>
    </row>
    <row r="262">
      <c r="A262" t="inlineStr" s="5">
        <is>
          <t>Move Two</t>
        </is>
      </c>
      <c r="B262" t="inlineStr" s="6">
        <is>
          <t>Low Kick</t>
        </is>
      </c>
      <c r="C262" t="inlineStr" s="6">
        <is>
          <t/>
        </is>
      </c>
      <c r="D262" t="inlineStr" s="6">
        <is>
          <t/>
        </is>
      </c>
      <c r="E262" t="inlineStr" s="6">
        <is>
          <t/>
        </is>
      </c>
      <c r="F262" t="inlineStr" s="6">
        <is>
          <t/>
        </is>
      </c>
      <c r="G262" t="inlineStr" s="6">
        <is>
          <t/>
        </is>
      </c>
      <c r="H262" t="inlineStr" s="6">
        <is>
          <t/>
        </is>
      </c>
    </row>
    <row r="263">
      <c r="A263" t="inlineStr" s="5">
        <is>
          <t>Move Three</t>
        </is>
      </c>
      <c r="B263" t="inlineStr" s="6">
        <is>
          <t>Endure</t>
        </is>
      </c>
      <c r="C263" t="inlineStr" s="6">
        <is>
          <t/>
        </is>
      </c>
      <c r="D263" t="inlineStr" s="6">
        <is>
          <t/>
        </is>
      </c>
      <c r="E263" t="inlineStr" s="6">
        <is>
          <t/>
        </is>
      </c>
      <c r="F263" t="inlineStr" s="6">
        <is>
          <t/>
        </is>
      </c>
      <c r="G263" t="inlineStr" s="6">
        <is>
          <t/>
        </is>
      </c>
      <c r="H263" t="inlineStr" s="6">
        <is>
          <t/>
        </is>
      </c>
    </row>
    <row r="264">
      <c r="A264" t="inlineStr" s="5">
        <is>
          <t>Move Four</t>
        </is>
      </c>
      <c r="B264" t="inlineStr" s="6">
        <is>
          <t>Sucker Punch</t>
        </is>
      </c>
      <c r="C264" t="inlineStr" s="6">
        <is>
          <t/>
        </is>
      </c>
      <c r="D264" t="inlineStr" s="6">
        <is>
          <t/>
        </is>
      </c>
      <c r="E264" t="inlineStr" s="6">
        <is>
          <t/>
        </is>
      </c>
      <c r="F264" t="inlineStr" s="6">
        <is>
          <t/>
        </is>
      </c>
      <c r="G264" t="inlineStr" s="6">
        <is>
          <t/>
        </is>
      </c>
      <c r="H264" t="inlineStr" s="6">
        <is>
          <t/>
        </is>
      </c>
    </row>
    <row r="265">
      <c r="A265" t="inlineStr" s="5">
        <is>
          <t>Source</t>
        </is>
      </c>
      <c r="B265" t="inlineStr" s="7">
        <is>
          <t>learnset &lt;= L20</t>
        </is>
      </c>
      <c r="C265" t="inlineStr" s="7">
        <is>
          <t/>
        </is>
      </c>
      <c r="D265" t="inlineStr" s="7">
        <is>
          <t/>
        </is>
      </c>
      <c r="E265" t="inlineStr" s="7">
        <is>
          <t/>
        </is>
      </c>
      <c r="F265" t="inlineStr" s="7">
        <is>
          <t/>
        </is>
      </c>
      <c r="G265" t="inlineStr" s="7">
        <is>
          <t/>
        </is>
      </c>
      <c r="H265" t="inlineStr" s="7">
        <is>
          <t/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</row>
    <row r="267" ht="24" customHeight="1">
      <c r="A267" t="inlineStr" s="4">
        <is>
          <t>ID 37 | Black Belt - Daichi</t>
        </is>
      </c>
      <c r="B267" t="inlineStr" s="4">
        <is>
          <t>Pokemon 1</t>
        </is>
      </c>
      <c r="C267" t="inlineStr" s="4">
        <is>
          <t>Pokemon 2</t>
        </is>
      </c>
      <c r="D267" t="inlineStr" s="4">
        <is>
          <t>Pokemon 3</t>
        </is>
      </c>
      <c r="E267" t="inlineStr" s="4">
        <is>
          <t>Pokemon 4</t>
        </is>
      </c>
      <c r="F267" t="inlineStr" s="4">
        <is>
          <t>Pokemon 5</t>
        </is>
      </c>
      <c r="G267" t="inlineStr" s="4">
        <is>
          <t>Pokemon 6</t>
        </is>
      </c>
      <c r="H267" t="inlineStr" s="4">
        <is>
          <t>Route 4, verso Newport, script battle Hitmonchan | Single Battle</t>
        </is>
      </c>
    </row>
    <row r="268" ht="64" customHeight="1">
      <c r="A268" t="inlineStr" s="6">
        <is>
          <t/>
        </is>
      </c>
      <c r="B268" s="6">
        <f>IMAGE("https://img.pokemondb.net/sprites/home/normal/hitmonchan.png")</f>
      </c>
      <c r="C268" t="inlineStr" s="6">
        <is>
          <t/>
        </is>
      </c>
      <c r="D268" t="inlineStr" s="6">
        <is>
          <t/>
        </is>
      </c>
      <c r="E268" t="inlineStr" s="6">
        <is>
          <t/>
        </is>
      </c>
      <c r="F268" t="inlineStr" s="6">
        <is>
          <t/>
        </is>
      </c>
      <c r="G268" t="inlineStr" s="6">
        <is>
          <t/>
        </is>
      </c>
      <c r="H268" t="inlineStr" s="6">
        <is>
          <t/>
        </is>
      </c>
    </row>
    <row r="269">
      <c r="A269" t="inlineStr" s="5">
        <is>
          <t>Pokemon</t>
        </is>
      </c>
      <c r="B269" t="inlineStr" s="6">
        <is>
          <t>Hitmonchan</t>
        </is>
      </c>
      <c r="C269" t="inlineStr" s="6">
        <is>
          <t/>
        </is>
      </c>
      <c r="D269" t="inlineStr" s="6">
        <is>
          <t/>
        </is>
      </c>
      <c r="E269" t="inlineStr" s="6">
        <is>
          <t/>
        </is>
      </c>
      <c r="F269" t="inlineStr" s="6">
        <is>
          <t/>
        </is>
      </c>
      <c r="G269" t="inlineStr" s="6">
        <is>
          <t/>
        </is>
      </c>
      <c r="H269" t="inlineStr" s="6">
        <is>
          <t>Items: None</t>
        </is>
      </c>
    </row>
    <row r="270">
      <c r="A270" t="inlineStr" s="5">
        <is>
          <t>Level</t>
        </is>
      </c>
      <c r="B270" t="inlineStr" s="6">
        <is>
          <t>Lv. 20</t>
        </is>
      </c>
      <c r="C270" t="inlineStr" s="6">
        <is>
          <t/>
        </is>
      </c>
      <c r="D270" t="inlineStr" s="6">
        <is>
          <t/>
        </is>
      </c>
      <c r="E270" t="inlineStr" s="6">
        <is>
          <t/>
        </is>
      </c>
      <c r="F270" t="inlineStr" s="6">
        <is>
          <t/>
        </is>
      </c>
      <c r="G270" t="inlineStr" s="6">
        <is>
          <t/>
        </is>
      </c>
      <c r="H270" t="inlineStr" s="6">
        <is>
          <t>Team size: 1</t>
        </is>
      </c>
    </row>
    <row r="271">
      <c r="A271" t="inlineStr" s="5">
        <is>
          <t>Held Item</t>
        </is>
      </c>
      <c r="B271" t="inlineStr" s="6">
        <is>
          <t/>
        </is>
      </c>
      <c r="C271" t="inlineStr" s="6">
        <is>
          <t/>
        </is>
      </c>
      <c r="D271" t="inlineStr" s="6">
        <is>
          <t/>
        </is>
      </c>
      <c r="E271" t="inlineStr" s="6">
        <is>
          <t/>
        </is>
      </c>
      <c r="F271" t="inlineStr" s="6">
        <is>
          <t/>
        </is>
      </c>
      <c r="G271" t="inlineStr" s="6">
        <is>
          <t/>
        </is>
      </c>
      <c r="H271" t="inlineStr" s="6">
        <is>
          <t/>
        </is>
      </c>
    </row>
    <row r="272">
      <c r="A272" t="inlineStr" s="5">
        <is>
          <t>Move One</t>
        </is>
      </c>
      <c r="B272" t="inlineStr" s="6">
        <is>
          <t>Mach Punch</t>
        </is>
      </c>
      <c r="C272" t="inlineStr" s="6">
        <is>
          <t/>
        </is>
      </c>
      <c r="D272" t="inlineStr" s="6">
        <is>
          <t/>
        </is>
      </c>
      <c r="E272" t="inlineStr" s="6">
        <is>
          <t/>
        </is>
      </c>
      <c r="F272" t="inlineStr" s="6">
        <is>
          <t/>
        </is>
      </c>
      <c r="G272" t="inlineStr" s="6">
        <is>
          <t/>
        </is>
      </c>
      <c r="H272" t="inlineStr" s="6">
        <is>
          <t/>
        </is>
      </c>
    </row>
    <row r="273">
      <c r="A273" t="inlineStr" s="5">
        <is>
          <t>Move Two</t>
        </is>
      </c>
      <c r="B273" t="inlineStr" s="6">
        <is>
          <t>Vacuum Wave</t>
        </is>
      </c>
      <c r="C273" t="inlineStr" s="6">
        <is>
          <t/>
        </is>
      </c>
      <c r="D273" t="inlineStr" s="6">
        <is>
          <t/>
        </is>
      </c>
      <c r="E273" t="inlineStr" s="6">
        <is>
          <t/>
        </is>
      </c>
      <c r="F273" t="inlineStr" s="6">
        <is>
          <t/>
        </is>
      </c>
      <c r="G273" t="inlineStr" s="6">
        <is>
          <t/>
        </is>
      </c>
      <c r="H273" t="inlineStr" s="6">
        <is>
          <t/>
        </is>
      </c>
    </row>
    <row r="274">
      <c r="A274" t="inlineStr" s="5">
        <is>
          <t>Move Three</t>
        </is>
      </c>
      <c r="B274" t="inlineStr" s="6">
        <is>
          <t>Detect</t>
        </is>
      </c>
      <c r="C274" t="inlineStr" s="6">
        <is>
          <t/>
        </is>
      </c>
      <c r="D274" t="inlineStr" s="6">
        <is>
          <t/>
        </is>
      </c>
      <c r="E274" t="inlineStr" s="6">
        <is>
          <t/>
        </is>
      </c>
      <c r="F274" t="inlineStr" s="6">
        <is>
          <t/>
        </is>
      </c>
      <c r="G274" t="inlineStr" s="6">
        <is>
          <t/>
        </is>
      </c>
      <c r="H274" t="inlineStr" s="6">
        <is>
          <t/>
        </is>
      </c>
    </row>
    <row r="275">
      <c r="A275" t="inlineStr" s="5">
        <is>
          <t>Move Four</t>
        </is>
      </c>
      <c r="B275" t="inlineStr" s="6">
        <is>
          <t>Bullet Punch</t>
        </is>
      </c>
      <c r="C275" t="inlineStr" s="6">
        <is>
          <t/>
        </is>
      </c>
      <c r="D275" t="inlineStr" s="6">
        <is>
          <t/>
        </is>
      </c>
      <c r="E275" t="inlineStr" s="6">
        <is>
          <t/>
        </is>
      </c>
      <c r="F275" t="inlineStr" s="6">
        <is>
          <t/>
        </is>
      </c>
      <c r="G275" t="inlineStr" s="6">
        <is>
          <t/>
        </is>
      </c>
      <c r="H275" t="inlineStr" s="6">
        <is>
          <t/>
        </is>
      </c>
    </row>
    <row r="276">
      <c r="A276" t="inlineStr" s="5">
        <is>
          <t>Source</t>
        </is>
      </c>
      <c r="B276" t="inlineStr" s="7">
        <is>
          <t>learnset &lt;= L20</t>
        </is>
      </c>
      <c r="C276" t="inlineStr" s="7">
        <is>
          <t/>
        </is>
      </c>
      <c r="D276" t="inlineStr" s="7">
        <is>
          <t/>
        </is>
      </c>
      <c r="E276" t="inlineStr" s="7">
        <is>
          <t/>
        </is>
      </c>
      <c r="F276" t="inlineStr" s="7">
        <is>
          <t/>
        </is>
      </c>
      <c r="G276" t="inlineStr" s="7">
        <is>
          <t/>
        </is>
      </c>
      <c r="H276" t="inlineStr" s="7">
        <is>
          <t/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</row>
    <row r="278" ht="24" customHeight="1">
      <c r="A278" t="inlineStr" s="4">
        <is>
          <t>ID 253 | Gym Leader - Kaseki</t>
        </is>
      </c>
      <c r="B278" t="inlineStr" s="4">
        <is>
          <t>Pokemon 1</t>
        </is>
      </c>
      <c r="C278" t="inlineStr" s="4">
        <is>
          <t>Pokemon 2</t>
        </is>
      </c>
      <c r="D278" t="inlineStr" s="4">
        <is>
          <t>Pokemon 3</t>
        </is>
      </c>
      <c r="E278" t="inlineStr" s="4">
        <is>
          <t>Pokemon 4</t>
        </is>
      </c>
      <c r="F278" t="inlineStr" s="4">
        <is>
          <t>Pokemon 5</t>
        </is>
      </c>
      <c r="G278" t="inlineStr" s="4">
        <is>
          <t>Pokemon 6</t>
        </is>
      </c>
      <c r="H278" t="inlineStr" s="4">
        <is>
          <t>Palestra Roccia | Double Battle</t>
        </is>
      </c>
    </row>
    <row r="279" ht="64" customHeight="1">
      <c r="A279" t="inlineStr" s="6">
        <is>
          <t/>
        </is>
      </c>
      <c r="B279" s="6">
        <f>IMAGE("https://img.pokemondb.net/sprites/home/normal/omanyte.png")</f>
      </c>
      <c r="C279" s="6">
        <f>IMAGE("https://img.pokemondb.net/sprites/home/normal/archen.png")</f>
      </c>
      <c r="D279" s="6">
        <f>IMAGE("https://img.pokemondb.net/sprites/home/normal/shieldon.png")</f>
      </c>
      <c r="E279" t="inlineStr" s="6">
        <is>
          <t/>
        </is>
      </c>
      <c r="F279" t="inlineStr" s="6">
        <is>
          <t/>
        </is>
      </c>
      <c r="G279" t="inlineStr" s="6">
        <is>
          <t/>
        </is>
      </c>
      <c r="H279" t="inlineStr" s="6">
        <is>
          <t/>
        </is>
      </c>
    </row>
    <row r="280">
      <c r="A280" t="inlineStr" s="5">
        <is>
          <t>Pokemon</t>
        </is>
      </c>
      <c r="B280" t="inlineStr" s="6">
        <is>
          <t>Omanyte</t>
        </is>
      </c>
      <c r="C280" t="inlineStr" s="6">
        <is>
          <t>Archen</t>
        </is>
      </c>
      <c r="D280" t="inlineStr" s="6">
        <is>
          <t>Shieldon (Ace)</t>
        </is>
      </c>
      <c r="E280" t="inlineStr" s="6">
        <is>
          <t/>
        </is>
      </c>
      <c r="F280" t="inlineStr" s="6">
        <is>
          <t/>
        </is>
      </c>
      <c r="G280" t="inlineStr" s="6">
        <is>
          <t/>
        </is>
      </c>
      <c r="H280" t="inlineStr" s="6">
        <is>
          <t>Items: Super Potion</t>
        </is>
      </c>
    </row>
    <row r="281">
      <c r="A281" t="inlineStr" s="5">
        <is>
          <t>Level</t>
        </is>
      </c>
      <c r="B281" t="inlineStr" s="6">
        <is>
          <t>Lv. 14</t>
        </is>
      </c>
      <c r="C281" t="inlineStr" s="6">
        <is>
          <t>Lv. 14</t>
        </is>
      </c>
      <c r="D281" t="inlineStr" s="6">
        <is>
          <t>Lv. 17</t>
        </is>
      </c>
      <c r="E281" t="inlineStr" s="6">
        <is>
          <t/>
        </is>
      </c>
      <c r="F281" t="inlineStr" s="6">
        <is>
          <t/>
        </is>
      </c>
      <c r="G281" t="inlineStr" s="6">
        <is>
          <t/>
        </is>
      </c>
      <c r="H281" t="inlineStr" s="6">
        <is>
          <t>Team size: 3</t>
        </is>
      </c>
    </row>
    <row r="282">
      <c r="A282" t="inlineStr" s="5">
        <is>
          <t>Held Item</t>
        </is>
      </c>
      <c r="B282" t="inlineStr" s="6">
        <is>
          <t/>
        </is>
      </c>
      <c r="C282" t="inlineStr" s="6">
        <is>
          <t/>
        </is>
      </c>
      <c r="D282" t="inlineStr" s="6">
        <is>
          <t>Oran Berry</t>
        </is>
      </c>
      <c r="E282" t="inlineStr" s="6">
        <is>
          <t/>
        </is>
      </c>
      <c r="F282" t="inlineStr" s="6">
        <is>
          <t/>
        </is>
      </c>
      <c r="G282" t="inlineStr" s="6">
        <is>
          <t/>
        </is>
      </c>
      <c r="H282" t="inlineStr" s="6">
        <is>
          <t/>
        </is>
      </c>
    </row>
    <row r="283">
      <c r="A283" t="inlineStr" s="5">
        <is>
          <t>Move One</t>
        </is>
      </c>
      <c r="B283" t="inlineStr" s="6">
        <is>
          <t>Protect</t>
        </is>
      </c>
      <c r="C283" t="inlineStr" s="6">
        <is>
          <t>Aerial Ace</t>
        </is>
      </c>
      <c r="D283" t="inlineStr" s="6">
        <is>
          <t>Protect</t>
        </is>
      </c>
      <c r="E283" t="inlineStr" s="6">
        <is>
          <t/>
        </is>
      </c>
      <c r="F283" t="inlineStr" s="6">
        <is>
          <t/>
        </is>
      </c>
      <c r="G283" t="inlineStr" s="6">
        <is>
          <t/>
        </is>
      </c>
      <c r="H283" t="inlineStr" s="6">
        <is>
          <t/>
        </is>
      </c>
    </row>
    <row r="284">
      <c r="A284" t="inlineStr" s="5">
        <is>
          <t>Move Two</t>
        </is>
      </c>
      <c r="B284" t="inlineStr" s="6">
        <is>
          <t>Harden</t>
        </is>
      </c>
      <c r="C284" t="inlineStr" s="6">
        <is>
          <t>Wing Attack</t>
        </is>
      </c>
      <c r="D284" t="inlineStr" s="6">
        <is>
          <t>Iron Head</t>
        </is>
      </c>
      <c r="E284" t="inlineStr" s="6">
        <is>
          <t/>
        </is>
      </c>
      <c r="F284" t="inlineStr" s="6">
        <is>
          <t/>
        </is>
      </c>
      <c r="G284" t="inlineStr" s="6">
        <is>
          <t/>
        </is>
      </c>
      <c r="H284" t="inlineStr" s="6">
        <is>
          <t/>
        </is>
      </c>
    </row>
    <row r="285">
      <c r="A285" t="inlineStr" s="5">
        <is>
          <t>Move Three</t>
        </is>
      </c>
      <c r="B285" t="inlineStr" s="6">
        <is>
          <t>Ancient Power</t>
        </is>
      </c>
      <c r="C285" t="inlineStr" s="6">
        <is>
          <t>Ancient Power</t>
        </is>
      </c>
      <c r="D285" t="inlineStr" s="6">
        <is>
          <t>Ancient Power</t>
        </is>
      </c>
      <c r="E285" t="inlineStr" s="6">
        <is>
          <t/>
        </is>
      </c>
      <c r="F285" t="inlineStr" s="6">
        <is>
          <t/>
        </is>
      </c>
      <c r="G285" t="inlineStr" s="6">
        <is>
          <t/>
        </is>
      </c>
      <c r="H285" t="inlineStr" s="6">
        <is>
          <t/>
        </is>
      </c>
    </row>
    <row r="286">
      <c r="A286" t="inlineStr" s="5">
        <is>
          <t>Move Four</t>
        </is>
      </c>
      <c r="B286" t="inlineStr" s="6">
        <is>
          <t>Water Gun</t>
        </is>
      </c>
      <c r="C286" t="inlineStr" s="6">
        <is>
          <t>Quick Attack</t>
        </is>
      </c>
      <c r="D286" t="inlineStr" s="6">
        <is>
          <t>Metal Burst</t>
        </is>
      </c>
      <c r="E286" t="inlineStr" s="6">
        <is>
          <t/>
        </is>
      </c>
      <c r="F286" t="inlineStr" s="6">
        <is>
          <t/>
        </is>
      </c>
      <c r="G286" t="inlineStr" s="6">
        <is>
          <t/>
        </is>
      </c>
      <c r="H286" t="inlineStr" s="6">
        <is>
          <t/>
        </is>
      </c>
    </row>
    <row r="287">
      <c r="A287" t="inlineStr" s="5">
        <is>
          <t>Source</t>
        </is>
      </c>
      <c r="B287" t="inlineStr" s="7">
        <is>
          <t>explicit trainer moves</t>
        </is>
      </c>
      <c r="C287" t="inlineStr" s="7">
        <is>
          <t>explicit trainer moves</t>
        </is>
      </c>
      <c r="D287" t="inlineStr" s="7">
        <is>
          <t>explicit trainer moves</t>
        </is>
      </c>
      <c r="E287" t="inlineStr" s="7">
        <is>
          <t/>
        </is>
      </c>
      <c r="F287" t="inlineStr" s="7">
        <is>
          <t/>
        </is>
      </c>
      <c r="G287" t="inlineStr" s="7">
        <is>
          <t/>
        </is>
      </c>
      <c r="H287" t="inlineStr" s="7">
        <is>
          <t/>
        </is>
      </c>
    </row>
    <row r="288">
      <c r="A288" t="inlineStr">
        <is>
          <t/>
        </is>
      </c>
      <c r="B288" t="inlineStr">
        <is>
          <t/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</row>
    <row r="289" ht="24" customHeight="1">
      <c r="A289" t="inlineStr" s="4">
        <is>
          <t>ID 256 | Gym Leader - Erika</t>
        </is>
      </c>
      <c r="B289" t="inlineStr" s="4">
        <is>
          <t>Pokemon 1</t>
        </is>
      </c>
      <c r="C289" t="inlineStr" s="4">
        <is>
          <t>Pokemon 2</t>
        </is>
      </c>
      <c r="D289" t="inlineStr" s="4">
        <is>
          <t>Pokemon 3</t>
        </is>
      </c>
      <c r="E289" t="inlineStr" s="4">
        <is>
          <t>Pokemon 4</t>
        </is>
      </c>
      <c r="F289" t="inlineStr" s="4">
        <is>
          <t>Pokemon 5</t>
        </is>
      </c>
      <c r="G289" t="inlineStr" s="4">
        <is>
          <t>Pokemon 6</t>
        </is>
      </c>
      <c r="H289" t="inlineStr" s="4">
        <is>
          <t>Palestra Erba | Double Battle</t>
        </is>
      </c>
    </row>
    <row r="290" ht="64" customHeight="1">
      <c r="A290" t="inlineStr" s="6">
        <is>
          <t/>
        </is>
      </c>
      <c r="B290" s="6">
        <f>IMAGE("https://img.pokemondb.net/sprites/home/normal/carnivine.png")</f>
      </c>
      <c r="C290" s="6">
        <f>IMAGE("https://img.pokemondb.net/sprites/home/normal/carnivine.png")</f>
      </c>
      <c r="D290" t="inlineStr" s="6">
        <is>
          <t/>
        </is>
      </c>
      <c r="E290" t="inlineStr" s="6">
        <is>
          <t/>
        </is>
      </c>
      <c r="F290" t="inlineStr" s="6">
        <is>
          <t/>
        </is>
      </c>
      <c r="G290" t="inlineStr" s="6">
        <is>
          <t/>
        </is>
      </c>
      <c r="H290" t="inlineStr" s="6">
        <is>
          <t/>
        </is>
      </c>
    </row>
    <row r="291">
      <c r="A291" t="inlineStr" s="5">
        <is>
          <t>Pokemon</t>
        </is>
      </c>
      <c r="B291" t="inlineStr" s="6">
        <is>
          <t>Carnivine (Ace)</t>
        </is>
      </c>
      <c r="C291" t="inlineStr" s="6">
        <is>
          <t>Carnivine (Ace)</t>
        </is>
      </c>
      <c r="D291" t="inlineStr" s="6">
        <is>
          <t/>
        </is>
      </c>
      <c r="E291" t="inlineStr" s="6">
        <is>
          <t/>
        </is>
      </c>
      <c r="F291" t="inlineStr" s="6">
        <is>
          <t/>
        </is>
      </c>
      <c r="G291" t="inlineStr" s="6">
        <is>
          <t/>
        </is>
      </c>
      <c r="H291" t="inlineStr" s="6">
        <is>
          <t>Items: Potion</t>
        </is>
      </c>
    </row>
    <row r="292">
      <c r="A292" t="inlineStr" s="5">
        <is>
          <t>Level</t>
        </is>
      </c>
      <c r="B292" t="inlineStr" s="6">
        <is>
          <t>Lv. 12</t>
        </is>
      </c>
      <c r="C292" t="inlineStr" s="6">
        <is>
          <t>Lv. 12</t>
        </is>
      </c>
      <c r="D292" t="inlineStr" s="6">
        <is>
          <t/>
        </is>
      </c>
      <c r="E292" t="inlineStr" s="6">
        <is>
          <t/>
        </is>
      </c>
      <c r="F292" t="inlineStr" s="6">
        <is>
          <t/>
        </is>
      </c>
      <c r="G292" t="inlineStr" s="6">
        <is>
          <t/>
        </is>
      </c>
      <c r="H292" t="inlineStr" s="6">
        <is>
          <t>Team size: 2</t>
        </is>
      </c>
    </row>
    <row r="293">
      <c r="A293" t="inlineStr" s="5">
        <is>
          <t>Held Item</t>
        </is>
      </c>
      <c r="B293" t="inlineStr" s="6">
        <is>
          <t/>
        </is>
      </c>
      <c r="C293" t="inlineStr" s="6">
        <is>
          <t>Oran Berry</t>
        </is>
      </c>
      <c r="D293" t="inlineStr" s="6">
        <is>
          <t/>
        </is>
      </c>
      <c r="E293" t="inlineStr" s="6">
        <is>
          <t/>
        </is>
      </c>
      <c r="F293" t="inlineStr" s="6">
        <is>
          <t/>
        </is>
      </c>
      <c r="G293" t="inlineStr" s="6">
        <is>
          <t/>
        </is>
      </c>
      <c r="H293" t="inlineStr" s="6">
        <is>
          <t/>
        </is>
      </c>
    </row>
    <row r="294">
      <c r="A294" t="inlineStr" s="5">
        <is>
          <t>Move One</t>
        </is>
      </c>
      <c r="B294" t="inlineStr" s="6">
        <is>
          <t>Vine Whip</t>
        </is>
      </c>
      <c r="C294" t="inlineStr" s="6">
        <is>
          <t>Razor Leaf</t>
        </is>
      </c>
      <c r="D294" t="inlineStr" s="6">
        <is>
          <t/>
        </is>
      </c>
      <c r="E294" t="inlineStr" s="6">
        <is>
          <t/>
        </is>
      </c>
      <c r="F294" t="inlineStr" s="6">
        <is>
          <t/>
        </is>
      </c>
      <c r="G294" t="inlineStr" s="6">
        <is>
          <t/>
        </is>
      </c>
      <c r="H294" t="inlineStr" s="6">
        <is>
          <t/>
        </is>
      </c>
    </row>
    <row r="295">
      <c r="A295" t="inlineStr" s="5">
        <is>
          <t>Move Two</t>
        </is>
      </c>
      <c r="B295" t="inlineStr" s="6">
        <is>
          <t>Bind</t>
        </is>
      </c>
      <c r="C295" t="inlineStr" s="6">
        <is>
          <t>Bite</t>
        </is>
      </c>
      <c r="D295" t="inlineStr" s="6">
        <is>
          <t/>
        </is>
      </c>
      <c r="E295" t="inlineStr" s="6">
        <is>
          <t/>
        </is>
      </c>
      <c r="F295" t="inlineStr" s="6">
        <is>
          <t/>
        </is>
      </c>
      <c r="G295" t="inlineStr" s="6">
        <is>
          <t/>
        </is>
      </c>
      <c r="H295" t="inlineStr" s="6">
        <is>
          <t/>
        </is>
      </c>
    </row>
    <row r="296">
      <c r="A296" t="inlineStr" s="5">
        <is>
          <t>Move Three</t>
        </is>
      </c>
      <c r="B296" t="inlineStr" s="6">
        <is>
          <t>Growth</t>
        </is>
      </c>
      <c r="C296" t="inlineStr" s="6">
        <is>
          <t>Ingrain</t>
        </is>
      </c>
      <c r="D296" t="inlineStr" s="6">
        <is>
          <t/>
        </is>
      </c>
      <c r="E296" t="inlineStr" s="6">
        <is>
          <t/>
        </is>
      </c>
      <c r="F296" t="inlineStr" s="6">
        <is>
          <t/>
        </is>
      </c>
      <c r="G296" t="inlineStr" s="6">
        <is>
          <t/>
        </is>
      </c>
      <c r="H296" t="inlineStr" s="6">
        <is>
          <t/>
        </is>
      </c>
    </row>
    <row r="297">
      <c r="A297" t="inlineStr" s="5">
        <is>
          <t>Move Four</t>
        </is>
      </c>
      <c r="B297" t="inlineStr" s="6">
        <is>
          <t>Sweet Scent</t>
        </is>
      </c>
      <c r="C297" t="inlineStr" s="6">
        <is>
          <t>Growth</t>
        </is>
      </c>
      <c r="D297" t="inlineStr" s="6">
        <is>
          <t/>
        </is>
      </c>
      <c r="E297" t="inlineStr" s="6">
        <is>
          <t/>
        </is>
      </c>
      <c r="F297" t="inlineStr" s="6">
        <is>
          <t/>
        </is>
      </c>
      <c r="G297" t="inlineStr" s="6">
        <is>
          <t/>
        </is>
      </c>
      <c r="H297" t="inlineStr" s="6">
        <is>
          <t/>
        </is>
      </c>
    </row>
    <row r="298">
      <c r="A298" t="inlineStr" s="5">
        <is>
          <t>Source</t>
        </is>
      </c>
      <c r="B298" t="inlineStr" s="7">
        <is>
          <t>explicit trainer moves</t>
        </is>
      </c>
      <c r="C298" t="inlineStr" s="7">
        <is>
          <t>explicit trainer moves</t>
        </is>
      </c>
      <c r="D298" t="inlineStr" s="7">
        <is>
          <t/>
        </is>
      </c>
      <c r="E298" t="inlineStr" s="7">
        <is>
          <t/>
        </is>
      </c>
      <c r="F298" t="inlineStr" s="7">
        <is>
          <t/>
        </is>
      </c>
      <c r="G298" t="inlineStr" s="7">
        <is>
          <t/>
        </is>
      </c>
      <c r="H298" t="inlineStr" s="7">
        <is>
          <t/>
        </is>
      </c>
    </row>
    <row r="299">
      <c r="A299" t="inlineStr">
        <is>
          <t/>
        </is>
      </c>
      <c r="B299" t="inlineStr">
        <is>
          <t/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</row>
    <row r="300" ht="24" customHeight="1">
      <c r="A300" t="inlineStr" s="4">
        <is>
          <t>ID 308 | Camper - Jerry</t>
        </is>
      </c>
      <c r="B300" t="inlineStr" s="4">
        <is>
          <t>Pokemon 1</t>
        </is>
      </c>
      <c r="C300" t="inlineStr" s="4">
        <is>
          <t>Pokemon 2</t>
        </is>
      </c>
      <c r="D300" t="inlineStr" s="4">
        <is>
          <t>Pokemon 3</t>
        </is>
      </c>
      <c r="E300" t="inlineStr" s="4">
        <is>
          <t>Pokemon 4</t>
        </is>
      </c>
      <c r="F300" t="inlineStr" s="4">
        <is>
          <t>Pokemon 5</t>
        </is>
      </c>
      <c r="G300" t="inlineStr" s="4">
        <is>
          <t>Pokemon 6</t>
        </is>
      </c>
      <c r="H300" t="inlineStr" s="4">
        <is>
          <t>Palestra Roccia | Double Battle</t>
        </is>
      </c>
    </row>
    <row r="301" ht="64" customHeight="1">
      <c r="A301" t="inlineStr" s="6">
        <is>
          <t/>
        </is>
      </c>
      <c r="B301" s="6">
        <f>IMAGE("https://img.pokemondb.net/sprites/home/normal/geodude.png")</f>
      </c>
      <c r="C301" s="6">
        <f>IMAGE("https://img.pokemondb.net/sprites/home/normal/kabuto.png")</f>
      </c>
      <c r="D301" t="inlineStr" s="6">
        <is>
          <t/>
        </is>
      </c>
      <c r="E301" t="inlineStr" s="6">
        <is>
          <t/>
        </is>
      </c>
      <c r="F301" t="inlineStr" s="6">
        <is>
          <t/>
        </is>
      </c>
      <c r="G301" t="inlineStr" s="6">
        <is>
          <t/>
        </is>
      </c>
      <c r="H301" t="inlineStr" s="6">
        <is>
          <t/>
        </is>
      </c>
    </row>
    <row r="302">
      <c r="A302" t="inlineStr" s="5">
        <is>
          <t>Pokemon</t>
        </is>
      </c>
      <c r="B302" t="inlineStr" s="6">
        <is>
          <t>Geodude</t>
        </is>
      </c>
      <c r="C302" t="inlineStr" s="6">
        <is>
          <t>Kabuto (Ace)</t>
        </is>
      </c>
      <c r="D302" t="inlineStr" s="6">
        <is>
          <t/>
        </is>
      </c>
      <c r="E302" t="inlineStr" s="6">
        <is>
          <t/>
        </is>
      </c>
      <c r="F302" t="inlineStr" s="6">
        <is>
          <t/>
        </is>
      </c>
      <c r="G302" t="inlineStr" s="6">
        <is>
          <t/>
        </is>
      </c>
      <c r="H302" t="inlineStr" s="6">
        <is>
          <t>Items: None</t>
        </is>
      </c>
    </row>
    <row r="303">
      <c r="A303" t="inlineStr" s="5">
        <is>
          <t>Level</t>
        </is>
      </c>
      <c r="B303" t="inlineStr" s="6">
        <is>
          <t>Lv. 12</t>
        </is>
      </c>
      <c r="C303" t="inlineStr" s="6">
        <is>
          <t>Lv. 14</t>
        </is>
      </c>
      <c r="D303" t="inlineStr" s="6">
        <is>
          <t/>
        </is>
      </c>
      <c r="E303" t="inlineStr" s="6">
        <is>
          <t/>
        </is>
      </c>
      <c r="F303" t="inlineStr" s="6">
        <is>
          <t/>
        </is>
      </c>
      <c r="G303" t="inlineStr" s="6">
        <is>
          <t/>
        </is>
      </c>
      <c r="H303" t="inlineStr" s="6">
        <is>
          <t>Team size: 2</t>
        </is>
      </c>
    </row>
    <row r="304">
      <c r="A304" t="inlineStr" s="5">
        <is>
          <t>Held Item</t>
        </is>
      </c>
      <c r="B304" t="inlineStr" s="6">
        <is>
          <t/>
        </is>
      </c>
      <c r="C304" t="inlineStr" s="6">
        <is>
          <t/>
        </is>
      </c>
      <c r="D304" t="inlineStr" s="6">
        <is>
          <t/>
        </is>
      </c>
      <c r="E304" t="inlineStr" s="6">
        <is>
          <t/>
        </is>
      </c>
      <c r="F304" t="inlineStr" s="6">
        <is>
          <t/>
        </is>
      </c>
      <c r="G304" t="inlineStr" s="6">
        <is>
          <t/>
        </is>
      </c>
      <c r="H304" t="inlineStr" s="6">
        <is>
          <t/>
        </is>
      </c>
    </row>
    <row r="305">
      <c r="A305" t="inlineStr" s="5">
        <is>
          <t>Move One</t>
        </is>
      </c>
      <c r="B305" t="inlineStr" s="6">
        <is>
          <t>Defense Curl</t>
        </is>
      </c>
      <c r="C305" t="inlineStr" s="6">
        <is>
          <t>Absorb</t>
        </is>
      </c>
      <c r="D305" t="inlineStr" s="6">
        <is>
          <t/>
        </is>
      </c>
      <c r="E305" t="inlineStr" s="6">
        <is>
          <t/>
        </is>
      </c>
      <c r="F305" t="inlineStr" s="6">
        <is>
          <t/>
        </is>
      </c>
      <c r="G305" t="inlineStr" s="6">
        <is>
          <t/>
        </is>
      </c>
      <c r="H305" t="inlineStr" s="6">
        <is>
          <t/>
        </is>
      </c>
    </row>
    <row r="306">
      <c r="A306" t="inlineStr" s="5">
        <is>
          <t>Move Two</t>
        </is>
      </c>
      <c r="B306" t="inlineStr" s="6">
        <is>
          <t>Rock Polish</t>
        </is>
      </c>
      <c r="C306" t="inlineStr" s="6">
        <is>
          <t>Harden</t>
        </is>
      </c>
      <c r="D306" t="inlineStr" s="6">
        <is>
          <t/>
        </is>
      </c>
      <c r="E306" t="inlineStr" s="6">
        <is>
          <t/>
        </is>
      </c>
      <c r="F306" t="inlineStr" s="6">
        <is>
          <t/>
        </is>
      </c>
      <c r="G306" t="inlineStr" s="6">
        <is>
          <t/>
        </is>
      </c>
      <c r="H306" t="inlineStr" s="6">
        <is>
          <t/>
        </is>
      </c>
    </row>
    <row r="307">
      <c r="A307" t="inlineStr" s="5">
        <is>
          <t>Move Three</t>
        </is>
      </c>
      <c r="B307" t="inlineStr" s="6">
        <is>
          <t>Rollout</t>
        </is>
      </c>
      <c r="C307" t="inlineStr" s="6">
        <is>
          <t>Scratch</t>
        </is>
      </c>
      <c r="D307" t="inlineStr" s="6">
        <is>
          <t/>
        </is>
      </c>
      <c r="E307" t="inlineStr" s="6">
        <is>
          <t/>
        </is>
      </c>
      <c r="F307" t="inlineStr" s="6">
        <is>
          <t/>
        </is>
      </c>
      <c r="G307" t="inlineStr" s="6">
        <is>
          <t/>
        </is>
      </c>
      <c r="H307" t="inlineStr" s="6">
        <is>
          <t/>
        </is>
      </c>
    </row>
    <row r="308">
      <c r="A308" t="inlineStr" s="5">
        <is>
          <t>Move Four</t>
        </is>
      </c>
      <c r="B308" t="inlineStr" s="6">
        <is>
          <t>Bulldoze</t>
        </is>
      </c>
      <c r="C308" t="inlineStr" s="6">
        <is>
          <t>Sand Attack</t>
        </is>
      </c>
      <c r="D308" t="inlineStr" s="6">
        <is>
          <t/>
        </is>
      </c>
      <c r="E308" t="inlineStr" s="6">
        <is>
          <t/>
        </is>
      </c>
      <c r="F308" t="inlineStr" s="6">
        <is>
          <t/>
        </is>
      </c>
      <c r="G308" t="inlineStr" s="6">
        <is>
          <t/>
        </is>
      </c>
      <c r="H308" t="inlineStr" s="6">
        <is>
          <t/>
        </is>
      </c>
    </row>
    <row r="309">
      <c r="A309" t="inlineStr" s="5">
        <is>
          <t>Source</t>
        </is>
      </c>
      <c r="B309" t="inlineStr" s="7">
        <is>
          <t>learnset &lt;= L12</t>
        </is>
      </c>
      <c r="C309" t="inlineStr" s="7">
        <is>
          <t>learnset &lt;= L14</t>
        </is>
      </c>
      <c r="D309" t="inlineStr" s="7">
        <is>
          <t/>
        </is>
      </c>
      <c r="E309" t="inlineStr" s="7">
        <is>
          <t/>
        </is>
      </c>
      <c r="F309" t="inlineStr" s="7">
        <is>
          <t/>
        </is>
      </c>
      <c r="G309" t="inlineStr" s="7">
        <is>
          <t/>
        </is>
      </c>
      <c r="H309" t="inlineStr" s="7">
        <is>
          <t/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</row>
    <row r="311" ht="24" customHeight="1">
      <c r="A311" t="inlineStr" s="4">
        <is>
          <t>ID 346 | Beauty - Julia</t>
        </is>
      </c>
      <c r="B311" t="inlineStr" s="4">
        <is>
          <t>Pokemon 1</t>
        </is>
      </c>
      <c r="C311" t="inlineStr" s="4">
        <is>
          <t>Pokemon 2</t>
        </is>
      </c>
      <c r="D311" t="inlineStr" s="4">
        <is>
          <t>Pokemon 3</t>
        </is>
      </c>
      <c r="E311" t="inlineStr" s="4">
        <is>
          <t>Pokemon 4</t>
        </is>
      </c>
      <c r="F311" t="inlineStr" s="4">
        <is>
          <t>Pokemon 5</t>
        </is>
      </c>
      <c r="G311" t="inlineStr" s="4">
        <is>
          <t>Pokemon 6</t>
        </is>
      </c>
      <c r="H311" t="inlineStr" s="4">
        <is>
          <t>Palestra Erba | Double Battle</t>
        </is>
      </c>
    </row>
    <row r="312" ht="64" customHeight="1">
      <c r="A312" t="inlineStr" s="6">
        <is>
          <t/>
        </is>
      </c>
      <c r="B312" s="6">
        <f>IMAGE("https://img.pokemondb.net/sprites/home/normal/turtwig.png")</f>
      </c>
      <c r="C312" s="6">
        <f>IMAGE("https://img.pokemondb.net/sprites/home/normal/spinarak.png")</f>
      </c>
      <c r="D312" s="6">
        <f>IMAGE("https://img.pokemondb.net/sprites/home/normal/spinarak.png")</f>
      </c>
      <c r="E312" t="inlineStr" s="6">
        <is>
          <t/>
        </is>
      </c>
      <c r="F312" t="inlineStr" s="6">
        <is>
          <t/>
        </is>
      </c>
      <c r="G312" t="inlineStr" s="6">
        <is>
          <t/>
        </is>
      </c>
      <c r="H312" t="inlineStr" s="6">
        <is>
          <t/>
        </is>
      </c>
    </row>
    <row r="313">
      <c r="A313" t="inlineStr" s="5">
        <is>
          <t>Pokemon</t>
        </is>
      </c>
      <c r="B313" t="inlineStr" s="6">
        <is>
          <t>Turtwig (Ace)</t>
        </is>
      </c>
      <c r="C313" t="inlineStr" s="6">
        <is>
          <t>Spinarak</t>
        </is>
      </c>
      <c r="D313" t="inlineStr" s="6">
        <is>
          <t>Spinarak</t>
        </is>
      </c>
      <c r="E313" t="inlineStr" s="6">
        <is>
          <t/>
        </is>
      </c>
      <c r="F313" t="inlineStr" s="6">
        <is>
          <t/>
        </is>
      </c>
      <c r="G313" t="inlineStr" s="6">
        <is>
          <t/>
        </is>
      </c>
      <c r="H313" t="inlineStr" s="6">
        <is>
          <t>Items: None</t>
        </is>
      </c>
    </row>
    <row r="314">
      <c r="A314" t="inlineStr" s="5">
        <is>
          <t>Level</t>
        </is>
      </c>
      <c r="B314" t="inlineStr" s="6">
        <is>
          <t>Lv. 11</t>
        </is>
      </c>
      <c r="C314" t="inlineStr" s="6">
        <is>
          <t>Lv. 8</t>
        </is>
      </c>
      <c r="D314" t="inlineStr" s="6">
        <is>
          <t>Lv. 8</t>
        </is>
      </c>
      <c r="E314" t="inlineStr" s="6">
        <is>
          <t/>
        </is>
      </c>
      <c r="F314" t="inlineStr" s="6">
        <is>
          <t/>
        </is>
      </c>
      <c r="G314" t="inlineStr" s="6">
        <is>
          <t/>
        </is>
      </c>
      <c r="H314" t="inlineStr" s="6">
        <is>
          <t>Team size: 3</t>
        </is>
      </c>
    </row>
    <row r="315">
      <c r="A315" t="inlineStr" s="5">
        <is>
          <t>Held Item</t>
        </is>
      </c>
      <c r="B315" t="inlineStr" s="6">
        <is>
          <t/>
        </is>
      </c>
      <c r="C315" t="inlineStr" s="6">
        <is>
          <t/>
        </is>
      </c>
      <c r="D315" t="inlineStr" s="6">
        <is>
          <t/>
        </is>
      </c>
      <c r="E315" t="inlineStr" s="6">
        <is>
          <t/>
        </is>
      </c>
      <c r="F315" t="inlineStr" s="6">
        <is>
          <t/>
        </is>
      </c>
      <c r="G315" t="inlineStr" s="6">
        <is>
          <t/>
        </is>
      </c>
      <c r="H315" t="inlineStr" s="6">
        <is>
          <t/>
        </is>
      </c>
    </row>
    <row r="316">
      <c r="A316" t="inlineStr" s="5">
        <is>
          <t>Move One</t>
        </is>
      </c>
      <c r="B316" t="inlineStr" s="6">
        <is>
          <t>Tackle</t>
        </is>
      </c>
      <c r="C316" t="inlineStr" s="6">
        <is>
          <t>Poison Sting</t>
        </is>
      </c>
      <c r="D316" t="inlineStr" s="6">
        <is>
          <t>Poison Sting</t>
        </is>
      </c>
      <c r="E316" t="inlineStr" s="6">
        <is>
          <t/>
        </is>
      </c>
      <c r="F316" t="inlineStr" s="6">
        <is>
          <t/>
        </is>
      </c>
      <c r="G316" t="inlineStr" s="6">
        <is>
          <t/>
        </is>
      </c>
      <c r="H316" t="inlineStr" s="6">
        <is>
          <t/>
        </is>
      </c>
    </row>
    <row r="317">
      <c r="A317" t="inlineStr" s="5">
        <is>
          <t>Move Two</t>
        </is>
      </c>
      <c r="B317" t="inlineStr" s="6">
        <is>
          <t>Withdraw</t>
        </is>
      </c>
      <c r="C317" t="inlineStr" s="6">
        <is>
          <t>String Shot</t>
        </is>
      </c>
      <c r="D317" t="inlineStr" s="6">
        <is>
          <t>String Shot</t>
        </is>
      </c>
      <c r="E317" t="inlineStr" s="6">
        <is>
          <t/>
        </is>
      </c>
      <c r="F317" t="inlineStr" s="6">
        <is>
          <t/>
        </is>
      </c>
      <c r="G317" t="inlineStr" s="6">
        <is>
          <t/>
        </is>
      </c>
      <c r="H317" t="inlineStr" s="6">
        <is>
          <t/>
        </is>
      </c>
    </row>
    <row r="318">
      <c r="A318" t="inlineStr" s="5">
        <is>
          <t>Move Three</t>
        </is>
      </c>
      <c r="B318" t="inlineStr" s="6">
        <is>
          <t>Absorb</t>
        </is>
      </c>
      <c r="C318" t="inlineStr" s="6">
        <is>
          <t>Absorb</t>
        </is>
      </c>
      <c r="D318" t="inlineStr" s="6">
        <is>
          <t>Absorb</t>
        </is>
      </c>
      <c r="E318" t="inlineStr" s="6">
        <is>
          <t/>
        </is>
      </c>
      <c r="F318" t="inlineStr" s="6">
        <is>
          <t/>
        </is>
      </c>
      <c r="G318" t="inlineStr" s="6">
        <is>
          <t/>
        </is>
      </c>
      <c r="H318" t="inlineStr" s="6">
        <is>
          <t/>
        </is>
      </c>
    </row>
    <row r="319">
      <c r="A319" t="inlineStr" s="5">
        <is>
          <t>Move Four</t>
        </is>
      </c>
      <c r="B319" t="inlineStr" s="6">
        <is>
          <t/>
        </is>
      </c>
      <c r="C319" t="inlineStr" s="6">
        <is>
          <t>Infestation</t>
        </is>
      </c>
      <c r="D319" t="inlineStr" s="6">
        <is>
          <t>Infestation</t>
        </is>
      </c>
      <c r="E319" t="inlineStr" s="6">
        <is>
          <t/>
        </is>
      </c>
      <c r="F319" t="inlineStr" s="6">
        <is>
          <t/>
        </is>
      </c>
      <c r="G319" t="inlineStr" s="6">
        <is>
          <t/>
        </is>
      </c>
      <c r="H319" t="inlineStr" s="6">
        <is>
          <t/>
        </is>
      </c>
    </row>
    <row r="320">
      <c r="A320" t="inlineStr" s="5">
        <is>
          <t>Source</t>
        </is>
      </c>
      <c r="B320" t="inlineStr" s="7">
        <is>
          <t>learnset &lt;= L11</t>
        </is>
      </c>
      <c r="C320" t="inlineStr" s="7">
        <is>
          <t>learnset &lt;= L8</t>
        </is>
      </c>
      <c r="D320" t="inlineStr" s="7">
        <is>
          <t>learnset &lt;= L8</t>
        </is>
      </c>
      <c r="E320" t="inlineStr" s="7">
        <is>
          <t/>
        </is>
      </c>
      <c r="F320" t="inlineStr" s="7">
        <is>
          <t/>
        </is>
      </c>
      <c r="G320" t="inlineStr" s="7">
        <is>
          <t/>
        </is>
      </c>
      <c r="H320" t="inlineStr" s="7">
        <is>
          <t/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</row>
    <row r="322" ht="24" customHeight="1">
      <c r="A322" t="inlineStr" s="4">
        <is>
          <t>ID 356 | Lass - Michelle</t>
        </is>
      </c>
      <c r="B322" t="inlineStr" s="4">
        <is>
          <t>Pokemon 1</t>
        </is>
      </c>
      <c r="C322" t="inlineStr" s="4">
        <is>
          <t>Pokemon 2</t>
        </is>
      </c>
      <c r="D322" t="inlineStr" s="4">
        <is>
          <t>Pokemon 3</t>
        </is>
      </c>
      <c r="E322" t="inlineStr" s="4">
        <is>
          <t>Pokemon 4</t>
        </is>
      </c>
      <c r="F322" t="inlineStr" s="4">
        <is>
          <t>Pokemon 5</t>
        </is>
      </c>
      <c r="G322" t="inlineStr" s="4">
        <is>
          <t>Pokemon 6</t>
        </is>
      </c>
      <c r="H322" t="inlineStr" s="4">
        <is>
          <t>Palestra Erba | Double Battle</t>
        </is>
      </c>
    </row>
    <row r="323" ht="64" customHeight="1">
      <c r="A323" t="inlineStr" s="6">
        <is>
          <t/>
        </is>
      </c>
      <c r="B323" s="6">
        <f>IMAGE("https://img.pokemondb.net/sprites/home/normal/roselia.png")</f>
      </c>
      <c r="C323" s="6">
        <f>IMAGE("https://img.pokemondb.net/sprites/home/normal/cottonee.png")</f>
      </c>
      <c r="D323" s="6">
        <f>IMAGE("https://img.pokemondb.net/sprites/home/normal/bonsly.png")</f>
      </c>
      <c r="E323" s="6">
        <f>IMAGE("https://img.pokemondb.net/sprites/home/normal/combee.png")</f>
      </c>
      <c r="F323" t="inlineStr" s="6">
        <is>
          <t/>
        </is>
      </c>
      <c r="G323" t="inlineStr" s="6">
        <is>
          <t/>
        </is>
      </c>
      <c r="H323" t="inlineStr" s="6">
        <is>
          <t/>
        </is>
      </c>
    </row>
    <row r="324">
      <c r="A324" t="inlineStr" s="5">
        <is>
          <t>Pokemon</t>
        </is>
      </c>
      <c r="B324" t="inlineStr" s="6">
        <is>
          <t>Roselia (Ace)</t>
        </is>
      </c>
      <c r="C324" t="inlineStr" s="6">
        <is>
          <t>Cottonee</t>
        </is>
      </c>
      <c r="D324" t="inlineStr" s="6">
        <is>
          <t>Bonsly</t>
        </is>
      </c>
      <c r="E324" t="inlineStr" s="6">
        <is>
          <t>Combee</t>
        </is>
      </c>
      <c r="F324" t="inlineStr" s="6">
        <is>
          <t/>
        </is>
      </c>
      <c r="G324" t="inlineStr" s="6">
        <is>
          <t/>
        </is>
      </c>
      <c r="H324" t="inlineStr" s="6">
        <is>
          <t>Items: None</t>
        </is>
      </c>
    </row>
    <row r="325">
      <c r="A325" t="inlineStr" s="5">
        <is>
          <t>Level</t>
        </is>
      </c>
      <c r="B325" t="inlineStr" s="6">
        <is>
          <t>Lv. 9</t>
        </is>
      </c>
      <c r="C325" t="inlineStr" s="6">
        <is>
          <t>Lv. 8</t>
        </is>
      </c>
      <c r="D325" t="inlineStr" s="6">
        <is>
          <t>Lv. 7</t>
        </is>
      </c>
      <c r="E325" t="inlineStr" s="6">
        <is>
          <t>Lv. 7</t>
        </is>
      </c>
      <c r="F325" t="inlineStr" s="6">
        <is>
          <t/>
        </is>
      </c>
      <c r="G325" t="inlineStr" s="6">
        <is>
          <t/>
        </is>
      </c>
      <c r="H325" t="inlineStr" s="6">
        <is>
          <t>Team size: 4</t>
        </is>
      </c>
    </row>
    <row r="326">
      <c r="A326" t="inlineStr" s="5">
        <is>
          <t>Held Item</t>
        </is>
      </c>
      <c r="B326" t="inlineStr" s="6">
        <is>
          <t/>
        </is>
      </c>
      <c r="C326" t="inlineStr" s="6">
        <is>
          <t/>
        </is>
      </c>
      <c r="D326" t="inlineStr" s="6">
        <is>
          <t/>
        </is>
      </c>
      <c r="E326" t="inlineStr" s="6">
        <is>
          <t/>
        </is>
      </c>
      <c r="F326" t="inlineStr" s="6">
        <is>
          <t/>
        </is>
      </c>
      <c r="G326" t="inlineStr" s="6">
        <is>
          <t/>
        </is>
      </c>
      <c r="H326" t="inlineStr" s="6">
        <is>
          <t/>
        </is>
      </c>
    </row>
    <row r="327">
      <c r="A327" t="inlineStr" s="5">
        <is>
          <t>Move One</t>
        </is>
      </c>
      <c r="B327" t="inlineStr" s="6">
        <is>
          <t>Poison Sting</t>
        </is>
      </c>
      <c r="C327" t="inlineStr" s="6">
        <is>
          <t>Helping Hand</t>
        </is>
      </c>
      <c r="D327" t="inlineStr" s="6">
        <is>
          <t>Fake Tears</t>
        </is>
      </c>
      <c r="E327" t="inlineStr" s="6">
        <is>
          <t>Gust</t>
        </is>
      </c>
      <c r="F327" t="inlineStr" s="6">
        <is>
          <t/>
        </is>
      </c>
      <c r="G327" t="inlineStr" s="6">
        <is>
          <t/>
        </is>
      </c>
      <c r="H327" t="inlineStr" s="6">
        <is>
          <t/>
        </is>
      </c>
    </row>
    <row r="328">
      <c r="A328" t="inlineStr" s="5">
        <is>
          <t>Move Two</t>
        </is>
      </c>
      <c r="B328" t="inlineStr" s="6">
        <is>
          <t>Stun Spore</t>
        </is>
      </c>
      <c r="C328" t="inlineStr" s="6">
        <is>
          <t>Absorb</t>
        </is>
      </c>
      <c r="D328" t="inlineStr" s="6">
        <is>
          <t>Copycat</t>
        </is>
      </c>
      <c r="E328" t="inlineStr" s="6">
        <is>
          <t>Sweet Scent</t>
        </is>
      </c>
      <c r="F328" t="inlineStr" s="6">
        <is>
          <t/>
        </is>
      </c>
      <c r="G328" t="inlineStr" s="6">
        <is>
          <t/>
        </is>
      </c>
      <c r="H328" t="inlineStr" s="6">
        <is>
          <t/>
        </is>
      </c>
    </row>
    <row r="329">
      <c r="A329" t="inlineStr" s="5">
        <is>
          <t>Move Three</t>
        </is>
      </c>
      <c r="B329" t="inlineStr" s="6">
        <is>
          <t>Worry Seed</t>
        </is>
      </c>
      <c r="C329" t="inlineStr" s="6">
        <is>
          <t>Fairy Wind</t>
        </is>
      </c>
      <c r="D329" t="inlineStr" s="6">
        <is>
          <t>Flail</t>
        </is>
      </c>
      <c r="E329" t="inlineStr" s="6">
        <is>
          <t>Bug Bite</t>
        </is>
      </c>
      <c r="F329" t="inlineStr" s="6">
        <is>
          <t/>
        </is>
      </c>
      <c r="G329" t="inlineStr" s="6">
        <is>
          <t/>
        </is>
      </c>
      <c r="H329" t="inlineStr" s="6">
        <is>
          <t/>
        </is>
      </c>
    </row>
    <row r="330">
      <c r="A330" t="inlineStr" s="5">
        <is>
          <t>Move Four</t>
        </is>
      </c>
      <c r="B330" t="inlineStr" s="6">
        <is>
          <t>Mega Drain</t>
        </is>
      </c>
      <c r="C330" t="inlineStr" s="6">
        <is>
          <t>Stun Spore</t>
        </is>
      </c>
      <c r="D330" t="inlineStr" s="6">
        <is>
          <t/>
        </is>
      </c>
      <c r="E330" t="inlineStr" s="6">
        <is>
          <t>Struggle Bug</t>
        </is>
      </c>
      <c r="F330" t="inlineStr" s="6">
        <is>
          <t/>
        </is>
      </c>
      <c r="G330" t="inlineStr" s="6">
        <is>
          <t/>
        </is>
      </c>
      <c r="H330" t="inlineStr" s="6">
        <is>
          <t/>
        </is>
      </c>
    </row>
    <row r="331">
      <c r="A331" t="inlineStr" s="5">
        <is>
          <t>Source</t>
        </is>
      </c>
      <c r="B331" t="inlineStr" s="7">
        <is>
          <t>learnset &lt;= L9</t>
        </is>
      </c>
      <c r="C331" t="inlineStr" s="7">
        <is>
          <t>learnset &lt;= L8</t>
        </is>
      </c>
      <c r="D331" t="inlineStr" s="7">
        <is>
          <t>learnset &lt;= L7</t>
        </is>
      </c>
      <c r="E331" t="inlineStr" s="7">
        <is>
          <t>learnset &lt;= L7</t>
        </is>
      </c>
      <c r="F331" t="inlineStr" s="7">
        <is>
          <t/>
        </is>
      </c>
      <c r="G331" t="inlineStr" s="7">
        <is>
          <t/>
        </is>
      </c>
      <c r="H331" t="inlineStr" s="7">
        <is>
          <t/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</row>
    <row r="333" ht="24" customHeight="1">
      <c r="A333" t="inlineStr" s="4">
        <is>
          <t>ID 685 | Hiker - Edwin</t>
        </is>
      </c>
      <c r="B333" t="inlineStr" s="4">
        <is>
          <t>Pokemon 1</t>
        </is>
      </c>
      <c r="C333" t="inlineStr" s="4">
        <is>
          <t>Pokemon 2</t>
        </is>
      </c>
      <c r="D333" t="inlineStr" s="4">
        <is>
          <t>Pokemon 3</t>
        </is>
      </c>
      <c r="E333" t="inlineStr" s="4">
        <is>
          <t>Pokemon 4</t>
        </is>
      </c>
      <c r="F333" t="inlineStr" s="4">
        <is>
          <t>Pokemon 5</t>
        </is>
      </c>
      <c r="G333" t="inlineStr" s="4">
        <is>
          <t>Pokemon 6</t>
        </is>
      </c>
      <c r="H333" t="inlineStr" s="4">
        <is>
          <t>Palestra Roccia | Double Battle</t>
        </is>
      </c>
    </row>
    <row r="334" ht="64" customHeight="1">
      <c r="A334" t="inlineStr" s="6">
        <is>
          <t/>
        </is>
      </c>
      <c r="B334" s="6">
        <f>IMAGE("https://img.pokemondb.net/sprites/home/normal/baltoy.png")</f>
      </c>
      <c r="C334" s="6">
        <f>IMAGE("https://img.pokemondb.net/sprites/home/normal/anorith.png")</f>
      </c>
      <c r="D334" s="6">
        <f>IMAGE("https://img.pokemondb.net/sprites/home/normal/sandshrew.png")</f>
      </c>
      <c r="E334" t="inlineStr" s="6">
        <is>
          <t/>
        </is>
      </c>
      <c r="F334" t="inlineStr" s="6">
        <is>
          <t/>
        </is>
      </c>
      <c r="G334" t="inlineStr" s="6">
        <is>
          <t/>
        </is>
      </c>
      <c r="H334" t="inlineStr" s="6">
        <is>
          <t/>
        </is>
      </c>
    </row>
    <row r="335">
      <c r="A335" t="inlineStr" s="5">
        <is>
          <t>Pokemon</t>
        </is>
      </c>
      <c r="B335" t="inlineStr" s="6">
        <is>
          <t>Baltoy</t>
        </is>
      </c>
      <c r="C335" t="inlineStr" s="6">
        <is>
          <t>Anorith (Ace)</t>
        </is>
      </c>
      <c r="D335" t="inlineStr" s="6">
        <is>
          <t>Sandshrew</t>
        </is>
      </c>
      <c r="E335" t="inlineStr" s="6">
        <is>
          <t/>
        </is>
      </c>
      <c r="F335" t="inlineStr" s="6">
        <is>
          <t/>
        </is>
      </c>
      <c r="G335" t="inlineStr" s="6">
        <is>
          <t/>
        </is>
      </c>
      <c r="H335" t="inlineStr" s="6">
        <is>
          <t>Items: None</t>
        </is>
      </c>
    </row>
    <row r="336">
      <c r="A336" t="inlineStr" s="5">
        <is>
          <t>Level</t>
        </is>
      </c>
      <c r="B336" t="inlineStr" s="6">
        <is>
          <t>Lv. 11</t>
        </is>
      </c>
      <c r="C336" t="inlineStr" s="6">
        <is>
          <t>Lv. 15</t>
        </is>
      </c>
      <c r="D336" t="inlineStr" s="6">
        <is>
          <t>Lv. 11</t>
        </is>
      </c>
      <c r="E336" t="inlineStr" s="6">
        <is>
          <t/>
        </is>
      </c>
      <c r="F336" t="inlineStr" s="6">
        <is>
          <t/>
        </is>
      </c>
      <c r="G336" t="inlineStr" s="6">
        <is>
          <t/>
        </is>
      </c>
      <c r="H336" t="inlineStr" s="6">
        <is>
          <t>Team size: 3</t>
        </is>
      </c>
    </row>
    <row r="337">
      <c r="A337" t="inlineStr" s="5">
        <is>
          <t>Held Item</t>
        </is>
      </c>
      <c r="B337" t="inlineStr" s="6">
        <is>
          <t/>
        </is>
      </c>
      <c r="C337" t="inlineStr" s="6">
        <is>
          <t/>
        </is>
      </c>
      <c r="D337" t="inlineStr" s="6">
        <is>
          <t/>
        </is>
      </c>
      <c r="E337" t="inlineStr" s="6">
        <is>
          <t/>
        </is>
      </c>
      <c r="F337" t="inlineStr" s="6">
        <is>
          <t/>
        </is>
      </c>
      <c r="G337" t="inlineStr" s="6">
        <is>
          <t/>
        </is>
      </c>
      <c r="H337" t="inlineStr" s="6">
        <is>
          <t/>
        </is>
      </c>
    </row>
    <row r="338">
      <c r="A338" t="inlineStr" s="5">
        <is>
          <t>Move One</t>
        </is>
      </c>
      <c r="B338" t="inlineStr" s="6">
        <is>
          <t>Mud Slap</t>
        </is>
      </c>
      <c r="C338" t="inlineStr" s="6">
        <is>
          <t>Harden</t>
        </is>
      </c>
      <c r="D338" t="inlineStr" s="6">
        <is>
          <t>Defense Curl</t>
        </is>
      </c>
      <c r="E338" t="inlineStr" s="6">
        <is>
          <t/>
        </is>
      </c>
      <c r="F338" t="inlineStr" s="6">
        <is>
          <t/>
        </is>
      </c>
      <c r="G338" t="inlineStr" s="6">
        <is>
          <t/>
        </is>
      </c>
      <c r="H338" t="inlineStr" s="6">
        <is>
          <t/>
        </is>
      </c>
    </row>
    <row r="339">
      <c r="A339" t="inlineStr" s="5">
        <is>
          <t>Move Two</t>
        </is>
      </c>
      <c r="B339" t="inlineStr" s="6">
        <is>
          <t>Rapid Spin</t>
        </is>
      </c>
      <c r="C339" t="inlineStr" s="6">
        <is>
          <t>Water Gun</t>
        </is>
      </c>
      <c r="D339" t="inlineStr" s="6">
        <is>
          <t>Poison Sting</t>
        </is>
      </c>
      <c r="E339" t="inlineStr" s="6">
        <is>
          <t/>
        </is>
      </c>
      <c r="F339" t="inlineStr" s="6">
        <is>
          <t/>
        </is>
      </c>
      <c r="G339" t="inlineStr" s="6">
        <is>
          <t/>
        </is>
      </c>
      <c r="H339" t="inlineStr" s="6">
        <is>
          <t/>
        </is>
      </c>
    </row>
    <row r="340">
      <c r="A340" t="inlineStr" s="5">
        <is>
          <t>Move Three</t>
        </is>
      </c>
      <c r="B340" t="inlineStr" s="6">
        <is>
          <t>Confusion</t>
        </is>
      </c>
      <c r="C340" t="inlineStr" s="6">
        <is>
          <t>Smack Down</t>
        </is>
      </c>
      <c r="D340" t="inlineStr" s="6">
        <is>
          <t>Sand Attack</t>
        </is>
      </c>
      <c r="E340" t="inlineStr" s="6">
        <is>
          <t/>
        </is>
      </c>
      <c r="F340" t="inlineStr" s="6">
        <is>
          <t/>
        </is>
      </c>
      <c r="G340" t="inlineStr" s="6">
        <is>
          <t/>
        </is>
      </c>
      <c r="H340" t="inlineStr" s="6">
        <is>
          <t/>
        </is>
      </c>
    </row>
    <row r="341">
      <c r="A341" t="inlineStr" s="5">
        <is>
          <t>Move Four</t>
        </is>
      </c>
      <c r="B341" t="inlineStr" s="6">
        <is>
          <t>Rock Tomb</t>
        </is>
      </c>
      <c r="C341" t="inlineStr" s="6">
        <is>
          <t>Metal Claw</t>
        </is>
      </c>
      <c r="D341" t="inlineStr" s="6">
        <is>
          <t>Rollout</t>
        </is>
      </c>
      <c r="E341" t="inlineStr" s="6">
        <is>
          <t/>
        </is>
      </c>
      <c r="F341" t="inlineStr" s="6">
        <is>
          <t/>
        </is>
      </c>
      <c r="G341" t="inlineStr" s="6">
        <is>
          <t/>
        </is>
      </c>
      <c r="H341" t="inlineStr" s="6">
        <is>
          <t/>
        </is>
      </c>
    </row>
    <row r="342">
      <c r="A342" t="inlineStr" s="5">
        <is>
          <t>Source</t>
        </is>
      </c>
      <c r="B342" t="inlineStr" s="7">
        <is>
          <t>learnset &lt;= L11</t>
        </is>
      </c>
      <c r="C342" t="inlineStr" s="7">
        <is>
          <t>learnset &lt;= L15</t>
        </is>
      </c>
      <c r="D342" t="inlineStr" s="7">
        <is>
          <t>learnset &lt;= L11</t>
        </is>
      </c>
      <c r="E342" t="inlineStr" s="7">
        <is>
          <t/>
        </is>
      </c>
      <c r="F342" t="inlineStr" s="7">
        <is>
          <t/>
        </is>
      </c>
      <c r="G342" t="inlineStr" s="7">
        <is>
          <t/>
        </is>
      </c>
      <c r="H342" t="inlineStr" s="7">
        <is>
          <t/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</row>
  </sheetData>
  <mergeCells count="2">
    <mergeCell ref="A1:H1"/>
    <mergeCell ref="A2:H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V94"/>
  <sheetViews>
    <sheetView workbookViewId="0"/>
  </sheetViews>
  <sheetFormatPr defaultRowHeight="18"/>
  <cols>
    <col min="1" max="1" width="11" customWidth="1"/>
    <col min="2" max="2" width="18" customWidth="1"/>
    <col min="3" max="3" width="28" customWidth="1"/>
    <col min="4" max="4" width="18" customWidth="1"/>
    <col min="5" max="5" width="34" customWidth="1"/>
    <col min="6" max="6" width="13" customWidth="1"/>
    <col min="7" max="7" width="18" customWidth="1"/>
    <col min="8" max="8" width="10" customWidth="1"/>
    <col min="9" max="9" width="12" customWidth="1"/>
    <col min="10" max="10" width="16" customWidth="1"/>
    <col min="11" max="11" width="24" customWidth="1"/>
    <col min="12" max="12" width="8" customWidth="1"/>
    <col min="13" max="13" width="16" customWidth="1"/>
    <col min="14" max="14" width="8" customWidth="1"/>
    <col min="15" max="15" width="12" customWidth="1"/>
    <col min="16" max="16" width="18" customWidth="1"/>
    <col min="17" max="17" width="18" customWidth="1"/>
    <col min="18" max="18" width="18" customWidth="1"/>
    <col min="19" max="19" width="18" customWidth="1"/>
    <col min="20" max="20" width="20" customWidth="1"/>
    <col min="21" max="21" width="48" customWidth="1"/>
    <col min="22" max="22" width="36" customWidth="1"/>
  </cols>
  <sheetData>
    <row r="1">
      <c r="A1" t="inlineStr" s="1">
        <is>
          <t>Trainer ID</t>
        </is>
      </c>
      <c r="B1" t="inlineStr" s="1">
        <is>
          <t>Trainer Class</t>
        </is>
      </c>
      <c r="C1" t="inlineStr" s="1">
        <is>
          <t>Trainer Class Constant</t>
        </is>
      </c>
      <c r="D1" t="inlineStr" s="1">
        <is>
          <t>Trainer Name</t>
        </is>
      </c>
      <c r="E1" t="inlineStr" s="1">
        <is>
          <t>Area</t>
        </is>
      </c>
      <c r="F1" t="inlineStr" s="1">
        <is>
          <t>Battle Type</t>
        </is>
      </c>
      <c r="G1" t="inlineStr" s="1">
        <is>
          <t>Trainer Items</t>
        </is>
      </c>
      <c r="H1" t="inlineStr" s="1">
        <is>
          <t>Party Slot</t>
        </is>
      </c>
      <c r="I1" t="inlineStr" s="1">
        <is>
          <t>Potential Ace</t>
        </is>
      </c>
      <c r="J1" t="inlineStr" s="1">
        <is>
          <t>Pokemon</t>
        </is>
      </c>
      <c r="K1" t="inlineStr" s="1">
        <is>
          <t>Species Constant</t>
        </is>
      </c>
      <c r="L1" t="inlineStr" s="1">
        <is>
          <t>Level</t>
        </is>
      </c>
      <c r="M1" t="inlineStr" s="1">
        <is>
          <t>Held Item</t>
        </is>
      </c>
      <c r="N1" t="inlineStr" s="1">
        <is>
          <t>IVs</t>
        </is>
      </c>
      <c r="O1" t="inlineStr" s="1">
        <is>
          <t>Ability Slot</t>
        </is>
      </c>
      <c r="P1" t="inlineStr" s="1">
        <is>
          <t>Move 1</t>
        </is>
      </c>
      <c r="Q1" t="inlineStr" s="1">
        <is>
          <t>Move 2</t>
        </is>
      </c>
      <c r="R1" t="inlineStr" s="1">
        <is>
          <t>Move 3</t>
        </is>
      </c>
      <c r="S1" t="inlineStr" s="1">
        <is>
          <t>Move 4</t>
        </is>
      </c>
      <c r="T1" t="inlineStr" s="1">
        <is>
          <t>Moves Source</t>
        </is>
      </c>
      <c r="U1" t="inlineStr" s="1">
        <is>
          <t>Sprite URL</t>
        </is>
      </c>
      <c r="V1" t="inlineStr" s="1">
        <is>
          <t>Sheets Image Formula</t>
        </is>
      </c>
    </row>
    <row r="2">
      <c r="A2" t="inlineStr">
        <is>
          <t>4</t>
        </is>
      </c>
      <c r="B2" t="inlineStr">
        <is>
          <t>School Kid</t>
        </is>
      </c>
      <c r="C2" t="inlineStr">
        <is>
          <t>TRAINERCLASS_SCHOOL_KID_M</t>
        </is>
      </c>
      <c r="D2" t="inlineStr">
        <is>
          <t>Alex</t>
        </is>
      </c>
      <c r="E2" t="inlineStr">
        <is>
          <t>Route 2</t>
        </is>
      </c>
      <c r="F2" t="inlineStr">
        <is>
          <t>Double Battle</t>
        </is>
      </c>
      <c r="G2" t="inlineStr">
        <is>
          <t/>
        </is>
      </c>
      <c r="H2" t="inlineStr">
        <is>
          <t>1</t>
        </is>
      </c>
      <c r="I2" t="inlineStr">
        <is>
          <t/>
        </is>
      </c>
      <c r="J2" t="inlineStr">
        <is>
          <t>Hoothoot</t>
        </is>
      </c>
      <c r="K2" t="inlineStr">
        <is>
          <t>SPECIES_HOOTHOOT</t>
        </is>
      </c>
      <c r="L2" t="inlineStr">
        <is>
          <t>3</t>
        </is>
      </c>
      <c r="M2" t="inlineStr">
        <is>
          <t/>
        </is>
      </c>
      <c r="N2" t="inlineStr">
        <is>
          <t>0</t>
        </is>
      </c>
      <c r="O2" t="inlineStr">
        <is>
          <t>0</t>
        </is>
      </c>
      <c r="P2" t="inlineStr">
        <is>
          <t>Growl</t>
        </is>
      </c>
      <c r="Q2" t="inlineStr">
        <is>
          <t>Peck</t>
        </is>
      </c>
      <c r="R2" t="inlineStr">
        <is>
          <t>Tackle</t>
        </is>
      </c>
      <c r="S2" t="inlineStr">
        <is>
          <t/>
        </is>
      </c>
      <c r="T2" t="inlineStr">
        <is>
          <t>learnset &lt;= L3</t>
        </is>
      </c>
      <c r="U2" t="inlineStr">
        <is>
          <t>https://img.pokemondb.net/sprites/home/normal/hoothoot.png</t>
        </is>
      </c>
      <c r="V2">
        <f>IMAGE("https://img.pokemondb.net/sprites/home/normal/hoothoot.png")</f>
      </c>
    </row>
    <row r="3">
      <c r="A3" t="inlineStr">
        <is>
          <t>4</t>
        </is>
      </c>
      <c r="B3" t="inlineStr">
        <is>
          <t>School Kid</t>
        </is>
      </c>
      <c r="C3" t="inlineStr">
        <is>
          <t>TRAINERCLASS_SCHOOL_KID_M</t>
        </is>
      </c>
      <c r="D3" t="inlineStr">
        <is>
          <t>Alex</t>
        </is>
      </c>
      <c r="E3" t="inlineStr">
        <is>
          <t>Route 2</t>
        </is>
      </c>
      <c r="F3" t="inlineStr">
        <is>
          <t>Double Battle</t>
        </is>
      </c>
      <c r="G3" t="inlineStr">
        <is>
          <t/>
        </is>
      </c>
      <c r="H3" t="inlineStr">
        <is>
          <t>2</t>
        </is>
      </c>
      <c r="I3" t="inlineStr">
        <is>
          <t>yes</t>
        </is>
      </c>
      <c r="J3" t="inlineStr">
        <is>
          <t>Poochyena</t>
        </is>
      </c>
      <c r="K3" t="inlineStr">
        <is>
          <t>SPECIES_POOCHYENA</t>
        </is>
      </c>
      <c r="L3" t="inlineStr">
        <is>
          <t>4</t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Tackle</t>
        </is>
      </c>
      <c r="Q3" t="inlineStr">
        <is>
          <t>Howl</t>
        </is>
      </c>
      <c r="R3" t="inlineStr">
        <is>
          <t/>
        </is>
      </c>
      <c r="S3" t="inlineStr">
        <is>
          <t/>
        </is>
      </c>
      <c r="T3" t="inlineStr">
        <is>
          <t>learnset &lt;= L4</t>
        </is>
      </c>
      <c r="U3" t="inlineStr">
        <is>
          <t>https://img.pokemondb.net/sprites/home/normal/poochyena.png</t>
        </is>
      </c>
      <c r="V3">
        <f>IMAGE("https://img.pokemondb.net/sprites/home/normal/poochyena.png")</f>
      </c>
    </row>
    <row r="4">
      <c r="A4" t="inlineStr">
        <is>
          <t>5</t>
        </is>
      </c>
      <c r="B4" t="inlineStr">
        <is>
          <t>Lass</t>
        </is>
      </c>
      <c r="C4" t="inlineStr">
        <is>
          <t>TRAINERCLASS_LASS</t>
        </is>
      </c>
      <c r="D4" t="inlineStr">
        <is>
          <t>Victoria</t>
        </is>
      </c>
      <c r="E4" t="inlineStr">
        <is>
          <t>Route 2</t>
        </is>
      </c>
      <c r="F4" t="inlineStr">
        <is>
          <t>Double Battle</t>
        </is>
      </c>
      <c r="G4" t="inlineStr">
        <is>
          <t/>
        </is>
      </c>
      <c r="H4" t="inlineStr">
        <is>
          <t>1</t>
        </is>
      </c>
      <c r="I4" t="inlineStr">
        <is>
          <t/>
        </is>
      </c>
      <c r="J4" t="inlineStr">
        <is>
          <t>Hoppip</t>
        </is>
      </c>
      <c r="K4" t="inlineStr">
        <is>
          <t>SPECIES_HOPPIP</t>
        </is>
      </c>
      <c r="L4" t="inlineStr">
        <is>
          <t>5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Splash</t>
        </is>
      </c>
      <c r="Q4" t="inlineStr">
        <is>
          <t>Tackle</t>
        </is>
      </c>
      <c r="R4" t="inlineStr">
        <is>
          <t>Tail Whip</t>
        </is>
      </c>
      <c r="S4" t="inlineStr">
        <is>
          <t/>
        </is>
      </c>
      <c r="T4" t="inlineStr">
        <is>
          <t>learnset &lt;= L5</t>
        </is>
      </c>
      <c r="U4" t="inlineStr">
        <is>
          <t>https://img.pokemondb.net/sprites/home/normal/hoppip.png</t>
        </is>
      </c>
      <c r="V4">
        <f>IMAGE("https://img.pokemondb.net/sprites/home/normal/hoppip.png")</f>
      </c>
    </row>
    <row r="5">
      <c r="A5" t="inlineStr">
        <is>
          <t>5</t>
        </is>
      </c>
      <c r="B5" t="inlineStr">
        <is>
          <t>Lass</t>
        </is>
      </c>
      <c r="C5" t="inlineStr">
        <is>
          <t>TRAINERCLASS_LASS</t>
        </is>
      </c>
      <c r="D5" t="inlineStr">
        <is>
          <t>Victoria</t>
        </is>
      </c>
      <c r="E5" t="inlineStr">
        <is>
          <t>Route 2</t>
        </is>
      </c>
      <c r="F5" t="inlineStr">
        <is>
          <t>Double Battle</t>
        </is>
      </c>
      <c r="G5" t="inlineStr">
        <is>
          <t/>
        </is>
      </c>
      <c r="H5" t="inlineStr">
        <is>
          <t>2</t>
        </is>
      </c>
      <c r="I5" t="inlineStr">
        <is>
          <t/>
        </is>
      </c>
      <c r="J5" t="inlineStr">
        <is>
          <t>Bellsprout</t>
        </is>
      </c>
      <c r="K5" t="inlineStr">
        <is>
          <t>SPECIES_BELLSPROUT</t>
        </is>
      </c>
      <c r="L5" t="inlineStr">
        <is>
          <t>5</t>
        </is>
      </c>
      <c r="M5" t="inlineStr">
        <is>
          <t/>
        </is>
      </c>
      <c r="N5" t="inlineStr">
        <is>
          <t>0</t>
        </is>
      </c>
      <c r="O5" t="inlineStr">
        <is>
          <t>0</t>
        </is>
      </c>
      <c r="P5" t="inlineStr">
        <is>
          <t>Vine Whip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learnset &lt;= L5</t>
        </is>
      </c>
      <c r="U5" t="inlineStr">
        <is>
          <t>https://img.pokemondb.net/sprites/home/normal/bellsprout.png</t>
        </is>
      </c>
      <c r="V5">
        <f>IMAGE("https://img.pokemondb.net/sprites/home/normal/bellsprout.png")</f>
      </c>
    </row>
    <row r="6">
      <c r="A6" t="inlineStr">
        <is>
          <t>5</t>
        </is>
      </c>
      <c r="B6" t="inlineStr">
        <is>
          <t>Lass</t>
        </is>
      </c>
      <c r="C6" t="inlineStr">
        <is>
          <t>TRAINERCLASS_LASS</t>
        </is>
      </c>
      <c r="D6" t="inlineStr">
        <is>
          <t>Victoria</t>
        </is>
      </c>
      <c r="E6" t="inlineStr">
        <is>
          <t>Route 2</t>
        </is>
      </c>
      <c r="F6" t="inlineStr">
        <is>
          <t>Double Battle</t>
        </is>
      </c>
      <c r="G6" t="inlineStr">
        <is>
          <t/>
        </is>
      </c>
      <c r="H6" t="inlineStr">
        <is>
          <t>3</t>
        </is>
      </c>
      <c r="I6" t="inlineStr">
        <is>
          <t>yes</t>
        </is>
      </c>
      <c r="J6" t="inlineStr">
        <is>
          <t>Swablu</t>
        </is>
      </c>
      <c r="K6" t="inlineStr">
        <is>
          <t>SPECIES_SWABLU</t>
        </is>
      </c>
      <c r="L6" t="inlineStr">
        <is>
          <t>7</t>
        </is>
      </c>
      <c r="M6" t="inlineStr">
        <is>
          <t/>
        </is>
      </c>
      <c r="N6" t="inlineStr">
        <is>
          <t>0</t>
        </is>
      </c>
      <c r="O6" t="inlineStr">
        <is>
          <t>0</t>
        </is>
      </c>
      <c r="P6" t="inlineStr">
        <is>
          <t>Growl</t>
        </is>
      </c>
      <c r="Q6" t="inlineStr">
        <is>
          <t>Peck</t>
        </is>
      </c>
      <c r="R6" t="inlineStr">
        <is>
          <t>Disarming Voice</t>
        </is>
      </c>
      <c r="S6" t="inlineStr">
        <is>
          <t/>
        </is>
      </c>
      <c r="T6" t="inlineStr">
        <is>
          <t>learnset &lt;= L7</t>
        </is>
      </c>
      <c r="U6" t="inlineStr">
        <is>
          <t>https://img.pokemondb.net/sprites/home/normal/swablu.png</t>
        </is>
      </c>
      <c r="V6">
        <f>IMAGE("https://img.pokemondb.net/sprites/home/normal/swablu.png")</f>
      </c>
    </row>
    <row r="7">
      <c r="A7" t="inlineStr">
        <is>
          <t>8</t>
        </is>
      </c>
      <c r="B7" t="inlineStr">
        <is>
          <t>Youngster</t>
        </is>
      </c>
      <c r="C7" t="inlineStr">
        <is>
          <t>TRAINERCLASS_YOUNGSTER</t>
        </is>
      </c>
      <c r="D7" t="inlineStr">
        <is>
          <t>Joey</t>
        </is>
      </c>
      <c r="E7" t="inlineStr">
        <is>
          <t>Route 2</t>
        </is>
      </c>
      <c r="F7" t="inlineStr">
        <is>
          <t>Double Battle</t>
        </is>
      </c>
      <c r="G7" t="inlineStr">
        <is>
          <t/>
        </is>
      </c>
      <c r="H7" t="inlineStr">
        <is>
          <t>1</t>
        </is>
      </c>
      <c r="I7" t="inlineStr">
        <is>
          <t/>
        </is>
      </c>
      <c r="J7" t="inlineStr">
        <is>
          <t>Pidgey</t>
        </is>
      </c>
      <c r="K7" t="inlineStr">
        <is>
          <t>SPECIES_PIDGEY</t>
        </is>
      </c>
      <c r="L7" t="inlineStr">
        <is>
          <t>3</t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Tackle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learnset &lt;= L3</t>
        </is>
      </c>
      <c r="U7" t="inlineStr">
        <is>
          <t>https://img.pokemondb.net/sprites/home/normal/pidgey.png</t>
        </is>
      </c>
      <c r="V7">
        <f>IMAGE("https://img.pokemondb.net/sprites/home/normal/pidgey.png")</f>
      </c>
    </row>
    <row r="8">
      <c r="A8" t="inlineStr">
        <is>
          <t>8</t>
        </is>
      </c>
      <c r="B8" t="inlineStr">
        <is>
          <t>Youngster</t>
        </is>
      </c>
      <c r="C8" t="inlineStr">
        <is>
          <t>TRAINERCLASS_YOUNGSTER</t>
        </is>
      </c>
      <c r="D8" t="inlineStr">
        <is>
          <t>Joey</t>
        </is>
      </c>
      <c r="E8" t="inlineStr">
        <is>
          <t>Route 2</t>
        </is>
      </c>
      <c r="F8" t="inlineStr">
        <is>
          <t>Double Battle</t>
        </is>
      </c>
      <c r="G8" t="inlineStr">
        <is>
          <t/>
        </is>
      </c>
      <c r="H8" t="inlineStr">
        <is>
          <t>2</t>
        </is>
      </c>
      <c r="I8" t="inlineStr">
        <is>
          <t>yes</t>
        </is>
      </c>
      <c r="J8" t="inlineStr">
        <is>
          <t>Rattata</t>
        </is>
      </c>
      <c r="K8" t="inlineStr">
        <is>
          <t>SPECIES_RATTATA</t>
        </is>
      </c>
      <c r="L8" t="inlineStr">
        <is>
          <t>4</t>
        </is>
      </c>
      <c r="M8" t="inlineStr">
        <is>
          <t/>
        </is>
      </c>
      <c r="N8" t="inlineStr">
        <is>
          <t>0</t>
        </is>
      </c>
      <c r="O8" t="inlineStr">
        <is>
          <t>0</t>
        </is>
      </c>
      <c r="P8" t="inlineStr">
        <is>
          <t>Tackle</t>
        </is>
      </c>
      <c r="Q8" t="inlineStr">
        <is>
          <t>Tail Whip</t>
        </is>
      </c>
      <c r="R8" t="inlineStr">
        <is>
          <t>Quick Attack</t>
        </is>
      </c>
      <c r="S8" t="inlineStr">
        <is>
          <t/>
        </is>
      </c>
      <c r="T8" t="inlineStr">
        <is>
          <t>learnset &lt;= L4</t>
        </is>
      </c>
      <c r="U8" t="inlineStr">
        <is>
          <t>https://img.pokemondb.net/sprites/home/normal/rattata.png</t>
        </is>
      </c>
      <c r="V8">
        <f>IMAGE("https://img.pokemondb.net/sprites/home/normal/rattata.png")</f>
      </c>
    </row>
    <row r="9">
      <c r="A9" t="inlineStr">
        <is>
          <t>9</t>
        </is>
      </c>
      <c r="B9" t="inlineStr">
        <is>
          <t>Bug Catcher</t>
        </is>
      </c>
      <c r="C9" t="inlineStr">
        <is>
          <t>TRAINERCLASS_BUG_CATCHER</t>
        </is>
      </c>
      <c r="D9" t="inlineStr">
        <is>
          <t>Leo</t>
        </is>
      </c>
      <c r="E9" t="inlineStr">
        <is>
          <t>Route 2</t>
        </is>
      </c>
      <c r="F9" t="inlineStr">
        <is>
          <t>Double Battle</t>
        </is>
      </c>
      <c r="G9" t="inlineStr">
        <is>
          <t/>
        </is>
      </c>
      <c r="H9" t="inlineStr">
        <is>
          <t>1</t>
        </is>
      </c>
      <c r="I9" t="inlineStr">
        <is>
          <t>yes</t>
        </is>
      </c>
      <c r="J9" t="inlineStr">
        <is>
          <t>Venipede</t>
        </is>
      </c>
      <c r="K9" t="inlineStr">
        <is>
          <t>SPECIES_VENIPEDE</t>
        </is>
      </c>
      <c r="L9" t="inlineStr">
        <is>
          <t>7</t>
        </is>
      </c>
      <c r="M9" t="inlineStr">
        <is>
          <t/>
        </is>
      </c>
      <c r="N9" t="inlineStr">
        <is>
          <t>0</t>
        </is>
      </c>
      <c r="O9" t="inlineStr">
        <is>
          <t>0</t>
        </is>
      </c>
      <c r="P9" t="inlineStr">
        <is>
          <t>Poison Sting</t>
        </is>
      </c>
      <c r="Q9" t="inlineStr">
        <is>
          <t>Defense Curl</t>
        </is>
      </c>
      <c r="R9" t="inlineStr">
        <is>
          <t>Rollout</t>
        </is>
      </c>
      <c r="S9" t="inlineStr">
        <is>
          <t/>
        </is>
      </c>
      <c r="T9" t="inlineStr">
        <is>
          <t>learnset &lt;= L7</t>
        </is>
      </c>
      <c r="U9" t="inlineStr">
        <is>
          <t>https://img.pokemondb.net/sprites/home/normal/venipede.png</t>
        </is>
      </c>
      <c r="V9">
        <f>IMAGE("https://img.pokemondb.net/sprites/home/normal/venipede.png")</f>
      </c>
    </row>
    <row r="10">
      <c r="A10" t="inlineStr">
        <is>
          <t>9</t>
        </is>
      </c>
      <c r="B10" t="inlineStr">
        <is>
          <t>Bug Catcher</t>
        </is>
      </c>
      <c r="C10" t="inlineStr">
        <is>
          <t>TRAINERCLASS_BUG_CATCHER</t>
        </is>
      </c>
      <c r="D10" t="inlineStr">
        <is>
          <t>Leo</t>
        </is>
      </c>
      <c r="E10" t="inlineStr">
        <is>
          <t>Route 2</t>
        </is>
      </c>
      <c r="F10" t="inlineStr">
        <is>
          <t>Double Battle</t>
        </is>
      </c>
      <c r="G10" t="inlineStr">
        <is>
          <t/>
        </is>
      </c>
      <c r="H10" t="inlineStr">
        <is>
          <t>2</t>
        </is>
      </c>
      <c r="I10" t="inlineStr">
        <is>
          <t/>
        </is>
      </c>
      <c r="J10" t="inlineStr">
        <is>
          <t>Metapod</t>
        </is>
      </c>
      <c r="K10" t="inlineStr">
        <is>
          <t>SPECIES_METAPOD</t>
        </is>
      </c>
      <c r="L10" t="inlineStr">
        <is>
          <t>6</t>
        </is>
      </c>
      <c r="M10" t="inlineStr">
        <is>
          <t/>
        </is>
      </c>
      <c r="N10" t="inlineStr">
        <is>
          <t>0</t>
        </is>
      </c>
      <c r="O10" t="inlineStr">
        <is>
          <t>0</t>
        </is>
      </c>
      <c r="P10" t="inlineStr">
        <is>
          <t>Harden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learnset &lt;= L6</t>
        </is>
      </c>
      <c r="U10" t="inlineStr">
        <is>
          <t>https://img.pokemondb.net/sprites/home/normal/metapod.png</t>
        </is>
      </c>
      <c r="V10">
        <f>IMAGE("https://img.pokemondb.net/sprites/home/normal/metapod.png")</f>
      </c>
    </row>
    <row r="11">
      <c r="A11" t="inlineStr">
        <is>
          <t>9</t>
        </is>
      </c>
      <c r="B11" t="inlineStr">
        <is>
          <t>Bug Catcher</t>
        </is>
      </c>
      <c r="C11" t="inlineStr">
        <is>
          <t>TRAINERCLASS_BUG_CATCHER</t>
        </is>
      </c>
      <c r="D11" t="inlineStr">
        <is>
          <t>Leo</t>
        </is>
      </c>
      <c r="E11" t="inlineStr">
        <is>
          <t>Route 2</t>
        </is>
      </c>
      <c r="F11" t="inlineStr">
        <is>
          <t>Double Battle</t>
        </is>
      </c>
      <c r="G11" t="inlineStr">
        <is>
          <t/>
        </is>
      </c>
      <c r="H11" t="inlineStr">
        <is>
          <t>3</t>
        </is>
      </c>
      <c r="I11" t="inlineStr">
        <is>
          <t/>
        </is>
      </c>
      <c r="J11" t="inlineStr">
        <is>
          <t>Kakuna</t>
        </is>
      </c>
      <c r="K11" t="inlineStr">
        <is>
          <t>SPECIES_KAKUNA</t>
        </is>
      </c>
      <c r="L11" t="inlineStr">
        <is>
          <t>6</t>
        </is>
      </c>
      <c r="M11" t="inlineStr">
        <is>
          <t/>
        </is>
      </c>
      <c r="N11" t="inlineStr">
        <is>
          <t>0</t>
        </is>
      </c>
      <c r="O11" t="inlineStr">
        <is>
          <t>0</t>
        </is>
      </c>
      <c r="P11" t="inlineStr">
        <is>
          <t>Harden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learnset &lt;= L6</t>
        </is>
      </c>
      <c r="U11" t="inlineStr">
        <is>
          <t>https://img.pokemondb.net/sprites/home/normal/kakuna.png</t>
        </is>
      </c>
      <c r="V11">
        <f>IMAGE("https://img.pokemondb.net/sprites/home/normal/kakuna.png")</f>
      </c>
    </row>
    <row r="12">
      <c r="A12" t="inlineStr">
        <is>
          <t>11</t>
        </is>
      </c>
      <c r="B12" t="inlineStr">
        <is>
          <t>Hiker</t>
        </is>
      </c>
      <c r="C12" t="inlineStr">
        <is>
          <t>TRAINERCLASS_HIKER</t>
        </is>
      </c>
      <c r="D12" t="inlineStr">
        <is>
          <t>Aiden</t>
        </is>
      </c>
      <c r="E12" t="inlineStr">
        <is>
          <t>Route 3, Ravaged Path</t>
        </is>
      </c>
      <c r="F12" t="inlineStr">
        <is>
          <t>Double Battle</t>
        </is>
      </c>
      <c r="G12" t="inlineStr">
        <is>
          <t/>
        </is>
      </c>
      <c r="H12" t="inlineStr">
        <is>
          <t>1</t>
        </is>
      </c>
      <c r="I12" t="inlineStr">
        <is>
          <t>yes</t>
        </is>
      </c>
      <c r="J12" t="inlineStr">
        <is>
          <t>Dugtrio</t>
        </is>
      </c>
      <c r="K12" t="inlineStr">
        <is>
          <t>SPECIES_DUGTRIO</t>
        </is>
      </c>
      <c r="L12" t="inlineStr">
        <is>
          <t>12</t>
        </is>
      </c>
      <c r="M12" t="inlineStr">
        <is>
          <t/>
        </is>
      </c>
      <c r="N12" t="inlineStr">
        <is>
          <t>0</t>
        </is>
      </c>
      <c r="O12" t="inlineStr">
        <is>
          <t>0</t>
        </is>
      </c>
      <c r="P12" t="inlineStr">
        <is>
          <t>Tri Attack</t>
        </is>
      </c>
      <c r="Q12" t="inlineStr">
        <is>
          <t>Astonish</t>
        </is>
      </c>
      <c r="R12" t="inlineStr">
        <is>
          <t>Night Slash</t>
        </is>
      </c>
      <c r="S12" t="inlineStr">
        <is>
          <t>Mud Slap</t>
        </is>
      </c>
      <c r="T12" t="inlineStr">
        <is>
          <t>learnset &lt;= L12</t>
        </is>
      </c>
      <c r="U12" t="inlineStr">
        <is>
          <t>https://img.pokemondb.net/sprites/home/normal/dugtrio.png</t>
        </is>
      </c>
      <c r="V12">
        <f>IMAGE("https://img.pokemondb.net/sprites/home/normal/dugtrio.png")</f>
      </c>
    </row>
    <row r="13">
      <c r="A13" t="inlineStr">
        <is>
          <t>11</t>
        </is>
      </c>
      <c r="B13" t="inlineStr">
        <is>
          <t>Hiker</t>
        </is>
      </c>
      <c r="C13" t="inlineStr">
        <is>
          <t>TRAINERCLASS_HIKER</t>
        </is>
      </c>
      <c r="D13" t="inlineStr">
        <is>
          <t>Aiden</t>
        </is>
      </c>
      <c r="E13" t="inlineStr">
        <is>
          <t>Route 3, Ravaged Path</t>
        </is>
      </c>
      <c r="F13" t="inlineStr">
        <is>
          <t>Double Battle</t>
        </is>
      </c>
      <c r="G13" t="inlineStr">
        <is>
          <t/>
        </is>
      </c>
      <c r="H13" t="inlineStr">
        <is>
          <t>2</t>
        </is>
      </c>
      <c r="I13" t="inlineStr">
        <is>
          <t/>
        </is>
      </c>
      <c r="J13" t="inlineStr">
        <is>
          <t>Diglett</t>
        </is>
      </c>
      <c r="K13" t="inlineStr">
        <is>
          <t>SPECIES_DIGLETT</t>
        </is>
      </c>
      <c r="L13" t="inlineStr">
        <is>
          <t>8</t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Scratch</t>
        </is>
      </c>
      <c r="Q13" t="inlineStr">
        <is>
          <t>Sand Attack</t>
        </is>
      </c>
      <c r="R13" t="inlineStr">
        <is>
          <t>Growl</t>
        </is>
      </c>
      <c r="S13" t="inlineStr">
        <is>
          <t>Astonish</t>
        </is>
      </c>
      <c r="T13" t="inlineStr">
        <is>
          <t>learnset &lt;= L8</t>
        </is>
      </c>
      <c r="U13" t="inlineStr">
        <is>
          <t>https://img.pokemondb.net/sprites/home/normal/diglett.png</t>
        </is>
      </c>
      <c r="V13">
        <f>IMAGE("https://img.pokemondb.net/sprites/home/normal/diglett.png")</f>
      </c>
    </row>
    <row r="14">
      <c r="A14" t="inlineStr">
        <is>
          <t>11</t>
        </is>
      </c>
      <c r="B14" t="inlineStr">
        <is>
          <t>Hiker</t>
        </is>
      </c>
      <c r="C14" t="inlineStr">
        <is>
          <t>TRAINERCLASS_HIKER</t>
        </is>
      </c>
      <c r="D14" t="inlineStr">
        <is>
          <t>Aiden</t>
        </is>
      </c>
      <c r="E14" t="inlineStr">
        <is>
          <t>Route 3, Ravaged Path</t>
        </is>
      </c>
      <c r="F14" t="inlineStr">
        <is>
          <t>Double Battle</t>
        </is>
      </c>
      <c r="G14" t="inlineStr">
        <is>
          <t/>
        </is>
      </c>
      <c r="H14" t="inlineStr">
        <is>
          <t>3</t>
        </is>
      </c>
      <c r="I14" t="inlineStr">
        <is>
          <t/>
        </is>
      </c>
      <c r="J14" t="inlineStr">
        <is>
          <t>Diglett</t>
        </is>
      </c>
      <c r="K14" t="inlineStr">
        <is>
          <t>SPECIES_DIGLETT</t>
        </is>
      </c>
      <c r="L14" t="inlineStr">
        <is>
          <t>8</t>
        </is>
      </c>
      <c r="M14" t="inlineStr">
        <is>
          <t/>
        </is>
      </c>
      <c r="N14" t="inlineStr">
        <is>
          <t>0</t>
        </is>
      </c>
      <c r="O14" t="inlineStr">
        <is>
          <t>0</t>
        </is>
      </c>
      <c r="P14" t="inlineStr">
        <is>
          <t>Scratch</t>
        </is>
      </c>
      <c r="Q14" t="inlineStr">
        <is>
          <t>Sand Attack</t>
        </is>
      </c>
      <c r="R14" t="inlineStr">
        <is>
          <t>Growl</t>
        </is>
      </c>
      <c r="S14" t="inlineStr">
        <is>
          <t>Astonish</t>
        </is>
      </c>
      <c r="T14" t="inlineStr">
        <is>
          <t>learnset &lt;= L8</t>
        </is>
      </c>
      <c r="U14" t="inlineStr">
        <is>
          <t>https://img.pokemondb.net/sprites/home/normal/diglett.png</t>
        </is>
      </c>
      <c r="V14">
        <f>IMAGE("https://img.pokemondb.net/sprites/home/normal/diglett.png")</f>
      </c>
    </row>
    <row r="15">
      <c r="A15" t="inlineStr">
        <is>
          <t>11</t>
        </is>
      </c>
      <c r="B15" t="inlineStr">
        <is>
          <t>Hiker</t>
        </is>
      </c>
      <c r="C15" t="inlineStr">
        <is>
          <t>TRAINERCLASS_HIKER</t>
        </is>
      </c>
      <c r="D15" t="inlineStr">
        <is>
          <t>Aiden</t>
        </is>
      </c>
      <c r="E15" t="inlineStr">
        <is>
          <t>Route 3, Ravaged Path</t>
        </is>
      </c>
      <c r="F15" t="inlineStr">
        <is>
          <t>Double Battle</t>
        </is>
      </c>
      <c r="G15" t="inlineStr">
        <is>
          <t/>
        </is>
      </c>
      <c r="H15" t="inlineStr">
        <is>
          <t>4</t>
        </is>
      </c>
      <c r="I15" t="inlineStr">
        <is>
          <t/>
        </is>
      </c>
      <c r="J15" t="inlineStr">
        <is>
          <t>Geodude</t>
        </is>
      </c>
      <c r="K15" t="inlineStr">
        <is>
          <t>SPECIES_GEODUDE</t>
        </is>
      </c>
      <c r="L15" t="inlineStr">
        <is>
          <t>9</t>
        </is>
      </c>
      <c r="M15" t="inlineStr">
        <is>
          <t/>
        </is>
      </c>
      <c r="N15" t="inlineStr">
        <is>
          <t>0</t>
        </is>
      </c>
      <c r="O15" t="inlineStr">
        <is>
          <t>0</t>
        </is>
      </c>
      <c r="P15" t="inlineStr">
        <is>
          <t>Tackle</t>
        </is>
      </c>
      <c r="Q15" t="inlineStr">
        <is>
          <t>Defense Curl</t>
        </is>
      </c>
      <c r="R15" t="inlineStr">
        <is>
          <t>Rock Polish</t>
        </is>
      </c>
      <c r="S15" t="inlineStr">
        <is>
          <t/>
        </is>
      </c>
      <c r="T15" t="inlineStr">
        <is>
          <t>learnset &lt;= L9</t>
        </is>
      </c>
      <c r="U15" t="inlineStr">
        <is>
          <t>https://img.pokemondb.net/sprites/home/normal/geodude.png</t>
        </is>
      </c>
      <c r="V15">
        <f>IMAGE("https://img.pokemondb.net/sprites/home/normal/geodude.png")</f>
      </c>
    </row>
    <row r="16">
      <c r="A16" t="inlineStr">
        <is>
          <t>12</t>
        </is>
      </c>
      <c r="B16" t="inlineStr">
        <is>
          <t>Elder</t>
        </is>
      </c>
      <c r="C16" t="inlineStr">
        <is>
          <t>TRAINERCLASS_ELDER</t>
        </is>
      </c>
      <c r="D16" t="inlineStr">
        <is>
          <t>Marcus</t>
        </is>
      </c>
      <c r="E16" t="inlineStr">
        <is>
          <t>Route 3, Ravaged Path</t>
        </is>
      </c>
      <c r="F16" t="inlineStr">
        <is>
          <t>Double Battle</t>
        </is>
      </c>
      <c r="G16" t="inlineStr">
        <is>
          <t/>
        </is>
      </c>
      <c r="H16" t="inlineStr">
        <is>
          <t>1</t>
        </is>
      </c>
      <c r="I16" t="inlineStr">
        <is>
          <t>yes</t>
        </is>
      </c>
      <c r="J16" t="inlineStr">
        <is>
          <t>Sandshrew</t>
        </is>
      </c>
      <c r="K16" t="inlineStr">
        <is>
          <t>SPECIES_SANDSHREW</t>
        </is>
      </c>
      <c r="L16" t="inlineStr">
        <is>
          <t>13</t>
        </is>
      </c>
      <c r="M16" t="inlineStr">
        <is>
          <t/>
        </is>
      </c>
      <c r="N16" t="inlineStr">
        <is>
          <t>0</t>
        </is>
      </c>
      <c r="O16" t="inlineStr">
        <is>
          <t>0</t>
        </is>
      </c>
      <c r="P16" t="inlineStr">
        <is>
          <t>Poison Sting</t>
        </is>
      </c>
      <c r="Q16" t="inlineStr">
        <is>
          <t>Sand Attack</t>
        </is>
      </c>
      <c r="R16" t="inlineStr">
        <is>
          <t>Rollout</t>
        </is>
      </c>
      <c r="S16" t="inlineStr">
        <is>
          <t>Fury Cutter</t>
        </is>
      </c>
      <c r="T16" t="inlineStr">
        <is>
          <t>learnset &lt;= L13</t>
        </is>
      </c>
      <c r="U16" t="inlineStr">
        <is>
          <t>https://img.pokemondb.net/sprites/home/normal/sandshrew.png</t>
        </is>
      </c>
      <c r="V16">
        <f>IMAGE("https://img.pokemondb.net/sprites/home/normal/sandshrew.png")</f>
      </c>
    </row>
    <row r="17">
      <c r="A17" t="inlineStr">
        <is>
          <t>12</t>
        </is>
      </c>
      <c r="B17" t="inlineStr">
        <is>
          <t>Elder</t>
        </is>
      </c>
      <c r="C17" t="inlineStr">
        <is>
          <t>TRAINERCLASS_ELDER</t>
        </is>
      </c>
      <c r="D17" t="inlineStr">
        <is>
          <t>Marcus</t>
        </is>
      </c>
      <c r="E17" t="inlineStr">
        <is>
          <t>Route 3, Ravaged Path</t>
        </is>
      </c>
      <c r="F17" t="inlineStr">
        <is>
          <t>Double Battle</t>
        </is>
      </c>
      <c r="G17" t="inlineStr">
        <is>
          <t/>
        </is>
      </c>
      <c r="H17" t="inlineStr">
        <is>
          <t>2</t>
        </is>
      </c>
      <c r="I17" t="inlineStr">
        <is>
          <t/>
        </is>
      </c>
      <c r="J17" t="inlineStr">
        <is>
          <t>Diglett</t>
        </is>
      </c>
      <c r="K17" t="inlineStr">
        <is>
          <t>SPECIES_DIGLETT</t>
        </is>
      </c>
      <c r="L17" t="inlineStr">
        <is>
          <t>10</t>
        </is>
      </c>
      <c r="M17" t="inlineStr">
        <is>
          <t/>
        </is>
      </c>
      <c r="N17" t="inlineStr">
        <is>
          <t>0</t>
        </is>
      </c>
      <c r="O17" t="inlineStr">
        <is>
          <t>0</t>
        </is>
      </c>
      <c r="P17" t="inlineStr">
        <is>
          <t>Scratch</t>
        </is>
      </c>
      <c r="Q17" t="inlineStr">
        <is>
          <t>Sand Attack</t>
        </is>
      </c>
      <c r="R17" t="inlineStr">
        <is>
          <t>Growl</t>
        </is>
      </c>
      <c r="S17" t="inlineStr">
        <is>
          <t>Astonish</t>
        </is>
      </c>
      <c r="T17" t="inlineStr">
        <is>
          <t>learnset &lt;= L10</t>
        </is>
      </c>
      <c r="U17" t="inlineStr">
        <is>
          <t>https://img.pokemondb.net/sprites/home/normal/diglett.png</t>
        </is>
      </c>
      <c r="V17">
        <f>IMAGE("https://img.pokemondb.net/sprites/home/normal/diglett.png")</f>
      </c>
    </row>
    <row r="18">
      <c r="A18" t="inlineStr">
        <is>
          <t>13</t>
        </is>
      </c>
      <c r="B18" t="inlineStr">
        <is>
          <t>Lass</t>
        </is>
      </c>
      <c r="C18" t="inlineStr">
        <is>
          <t>TRAINERCLASS_LASS</t>
        </is>
      </c>
      <c r="D18" t="inlineStr">
        <is>
          <t>Sarah</t>
        </is>
      </c>
      <c r="E18" t="inlineStr">
        <is>
          <t>Route 3</t>
        </is>
      </c>
      <c r="F18" t="inlineStr">
        <is>
          <t>Double Battle</t>
        </is>
      </c>
      <c r="G18" t="inlineStr">
        <is>
          <t/>
        </is>
      </c>
      <c r="H18" t="inlineStr">
        <is>
          <t>1</t>
        </is>
      </c>
      <c r="I18" t="inlineStr">
        <is>
          <t>yes</t>
        </is>
      </c>
      <c r="J18" t="inlineStr">
        <is>
          <t>Cubone</t>
        </is>
      </c>
      <c r="K18" t="inlineStr">
        <is>
          <t>SPECIES_CUBONE</t>
        </is>
      </c>
      <c r="L18" t="inlineStr">
        <is>
          <t>8</t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Growl</t>
        </is>
      </c>
      <c r="Q18" t="inlineStr">
        <is>
          <t>Mud Slap</t>
        </is>
      </c>
      <c r="R18" t="inlineStr">
        <is>
          <t>Tail Whip</t>
        </is>
      </c>
      <c r="S18" t="inlineStr">
        <is>
          <t>False Swipe</t>
        </is>
      </c>
      <c r="T18" t="inlineStr">
        <is>
          <t>learnset &lt;= L8</t>
        </is>
      </c>
      <c r="U18" t="inlineStr">
        <is>
          <t>https://img.pokemondb.net/sprites/home/normal/cubone.png</t>
        </is>
      </c>
      <c r="V18">
        <f>IMAGE("https://img.pokemondb.net/sprites/home/normal/cubone.png")</f>
      </c>
    </row>
    <row r="19">
      <c r="A19" t="inlineStr">
        <is>
          <t>13</t>
        </is>
      </c>
      <c r="B19" t="inlineStr">
        <is>
          <t>Lass</t>
        </is>
      </c>
      <c r="C19" t="inlineStr">
        <is>
          <t>TRAINERCLASS_LASS</t>
        </is>
      </c>
      <c r="D19" t="inlineStr">
        <is>
          <t>Sarah</t>
        </is>
      </c>
      <c r="E19" t="inlineStr">
        <is>
          <t>Route 3</t>
        </is>
      </c>
      <c r="F19" t="inlineStr">
        <is>
          <t>Double Battle</t>
        </is>
      </c>
      <c r="G19" t="inlineStr">
        <is>
          <t/>
        </is>
      </c>
      <c r="H19" t="inlineStr">
        <is>
          <t>2</t>
        </is>
      </c>
      <c r="I19" t="inlineStr">
        <is>
          <t/>
        </is>
      </c>
      <c r="J19" t="inlineStr">
        <is>
          <t>Mankey</t>
        </is>
      </c>
      <c r="K19" t="inlineStr">
        <is>
          <t>SPECIES_MANKEY</t>
        </is>
      </c>
      <c r="L19" t="inlineStr">
        <is>
          <t>7</t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Leer</t>
        </is>
      </c>
      <c r="Q19" t="inlineStr">
        <is>
          <t>Focus Energy</t>
        </is>
      </c>
      <c r="R19" t="inlineStr">
        <is>
          <t>Covet</t>
        </is>
      </c>
      <c r="S19" t="inlineStr">
        <is>
          <t>Fury Swipes</t>
        </is>
      </c>
      <c r="T19" t="inlineStr">
        <is>
          <t>learnset &lt;= L7</t>
        </is>
      </c>
      <c r="U19" t="inlineStr">
        <is>
          <t>https://img.pokemondb.net/sprites/home/normal/mankey.png</t>
        </is>
      </c>
      <c r="V19">
        <f>IMAGE("https://img.pokemondb.net/sprites/home/normal/mankey.png")</f>
      </c>
    </row>
    <row r="20">
      <c r="A20" t="inlineStr">
        <is>
          <t>13</t>
        </is>
      </c>
      <c r="B20" t="inlineStr">
        <is>
          <t>Lass</t>
        </is>
      </c>
      <c r="C20" t="inlineStr">
        <is>
          <t>TRAINERCLASS_LASS</t>
        </is>
      </c>
      <c r="D20" t="inlineStr">
        <is>
          <t>Sarah</t>
        </is>
      </c>
      <c r="E20" t="inlineStr">
        <is>
          <t>Route 3</t>
        </is>
      </c>
      <c r="F20" t="inlineStr">
        <is>
          <t>Double Battle</t>
        </is>
      </c>
      <c r="G20" t="inlineStr">
        <is>
          <t/>
        </is>
      </c>
      <c r="H20" t="inlineStr">
        <is>
          <t>3</t>
        </is>
      </c>
      <c r="I20" t="inlineStr">
        <is>
          <t/>
        </is>
      </c>
      <c r="J20" t="inlineStr">
        <is>
          <t>Teddiursa</t>
        </is>
      </c>
      <c r="K20" t="inlineStr">
        <is>
          <t>SPECIES_TEDDIURSA</t>
        </is>
      </c>
      <c r="L20" t="inlineStr">
        <is>
          <t>6</t>
        </is>
      </c>
      <c r="M20" t="inlineStr">
        <is>
          <t/>
        </is>
      </c>
      <c r="N20" t="inlineStr">
        <is>
          <t>0</t>
        </is>
      </c>
      <c r="O20" t="inlineStr">
        <is>
          <t>0</t>
        </is>
      </c>
      <c r="P20" t="inlineStr">
        <is>
          <t>Lick</t>
        </is>
      </c>
      <c r="Q20" t="inlineStr">
        <is>
          <t>Covet</t>
        </is>
      </c>
      <c r="R20" t="inlineStr">
        <is>
          <t>Fling</t>
        </is>
      </c>
      <c r="S20" t="inlineStr">
        <is>
          <t>Baby Doll Eyes</t>
        </is>
      </c>
      <c r="T20" t="inlineStr">
        <is>
          <t>learnset &lt;= L6</t>
        </is>
      </c>
      <c r="U20" t="inlineStr">
        <is>
          <t>https://img.pokemondb.net/sprites/home/normal/teddiursa.png</t>
        </is>
      </c>
      <c r="V20">
        <f>IMAGE("https://img.pokemondb.net/sprites/home/normal/teddiursa.png")</f>
      </c>
    </row>
    <row r="21">
      <c r="A21" t="inlineStr">
        <is>
          <t>14</t>
        </is>
      </c>
      <c r="B21" t="inlineStr">
        <is>
          <t>Ace Trainer</t>
        </is>
      </c>
      <c r="C21" t="inlineStr">
        <is>
          <t>TRAINERCLASS_ACE_TRAINER_F</t>
        </is>
      </c>
      <c r="D21" t="inlineStr">
        <is>
          <t>Michelle</t>
        </is>
      </c>
      <c r="E21" t="inlineStr">
        <is>
          <t>Route 3, lato post-grotta</t>
        </is>
      </c>
      <c r="F21" t="inlineStr">
        <is>
          <t>Double Battle</t>
        </is>
      </c>
      <c r="G21" t="inlineStr">
        <is>
          <t/>
        </is>
      </c>
      <c r="H21" t="inlineStr">
        <is>
          <t>1</t>
        </is>
      </c>
      <c r="I21" t="inlineStr">
        <is>
          <t/>
        </is>
      </c>
      <c r="J21" t="inlineStr">
        <is>
          <t>Spinda</t>
        </is>
      </c>
      <c r="K21" t="inlineStr">
        <is>
          <t>SPECIES_SPINDA</t>
        </is>
      </c>
      <c r="L21" t="inlineStr">
        <is>
          <t>12</t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Tackle</t>
        </is>
      </c>
      <c r="Q21" t="inlineStr">
        <is>
          <t>Copycat</t>
        </is>
      </c>
      <c r="R21" t="inlineStr">
        <is>
          <t>Teeter Dance</t>
        </is>
      </c>
      <c r="S21" t="inlineStr">
        <is>
          <t/>
        </is>
      </c>
      <c r="T21" t="inlineStr">
        <is>
          <t>learnset &lt;= L12</t>
        </is>
      </c>
      <c r="U21" t="inlineStr">
        <is>
          <t>https://img.pokemondb.net/sprites/home/normal/spinda.png</t>
        </is>
      </c>
      <c r="V21">
        <f>IMAGE("https://img.pokemondb.net/sprites/home/normal/spinda.png")</f>
      </c>
    </row>
    <row r="22">
      <c r="A22" t="inlineStr">
        <is>
          <t>14</t>
        </is>
      </c>
      <c r="B22" t="inlineStr">
        <is>
          <t>Ace Trainer</t>
        </is>
      </c>
      <c r="C22" t="inlineStr">
        <is>
          <t>TRAINERCLASS_ACE_TRAINER_F</t>
        </is>
      </c>
      <c r="D22" t="inlineStr">
        <is>
          <t>Michelle</t>
        </is>
      </c>
      <c r="E22" t="inlineStr">
        <is>
          <t>Route 3, lato post-grotta</t>
        </is>
      </c>
      <c r="F22" t="inlineStr">
        <is>
          <t>Double Battle</t>
        </is>
      </c>
      <c r="G22" t="inlineStr">
        <is>
          <t/>
        </is>
      </c>
      <c r="H22" t="inlineStr">
        <is>
          <t>2</t>
        </is>
      </c>
      <c r="I22" t="inlineStr">
        <is>
          <t/>
        </is>
      </c>
      <c r="J22" t="inlineStr">
        <is>
          <t>Spinda</t>
        </is>
      </c>
      <c r="K22" t="inlineStr">
        <is>
          <t>SPECIES_SPINDA</t>
        </is>
      </c>
      <c r="L22" t="inlineStr">
        <is>
          <t>11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Tackle</t>
        </is>
      </c>
      <c r="Q22" t="inlineStr">
        <is>
          <t>Copycat</t>
        </is>
      </c>
      <c r="R22" t="inlineStr">
        <is>
          <t>Teeter Dance</t>
        </is>
      </c>
      <c r="S22" t="inlineStr">
        <is>
          <t/>
        </is>
      </c>
      <c r="T22" t="inlineStr">
        <is>
          <t>learnset &lt;= L11</t>
        </is>
      </c>
      <c r="U22" t="inlineStr">
        <is>
          <t>https://img.pokemondb.net/sprites/home/normal/spinda.png</t>
        </is>
      </c>
      <c r="V22">
        <f>IMAGE("https://img.pokemondb.net/sprites/home/normal/spinda.png")</f>
      </c>
    </row>
    <row r="23">
      <c r="A23" t="inlineStr">
        <is>
          <t>14</t>
        </is>
      </c>
      <c r="B23" t="inlineStr">
        <is>
          <t>Ace Trainer</t>
        </is>
      </c>
      <c r="C23" t="inlineStr">
        <is>
          <t>TRAINERCLASS_ACE_TRAINER_F</t>
        </is>
      </c>
      <c r="D23" t="inlineStr">
        <is>
          <t>Michelle</t>
        </is>
      </c>
      <c r="E23" t="inlineStr">
        <is>
          <t>Route 3, lato post-grotta</t>
        </is>
      </c>
      <c r="F23" t="inlineStr">
        <is>
          <t>Double Battle</t>
        </is>
      </c>
      <c r="G23" t="inlineStr">
        <is>
          <t/>
        </is>
      </c>
      <c r="H23" t="inlineStr">
        <is>
          <t>3</t>
        </is>
      </c>
      <c r="I23" t="inlineStr">
        <is>
          <t>yes</t>
        </is>
      </c>
      <c r="J23" t="inlineStr">
        <is>
          <t>Munchlax</t>
        </is>
      </c>
      <c r="K23" t="inlineStr">
        <is>
          <t>SPECIES_MUNCHLAX</t>
        </is>
      </c>
      <c r="L23" t="inlineStr">
        <is>
          <t>14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Lick</t>
        </is>
      </c>
      <c r="Q23" t="inlineStr">
        <is>
          <t>Defense Curl</t>
        </is>
      </c>
      <c r="R23" t="inlineStr">
        <is>
          <t>Recycle</t>
        </is>
      </c>
      <c r="S23" t="inlineStr">
        <is>
          <t>Covet</t>
        </is>
      </c>
      <c r="T23" t="inlineStr">
        <is>
          <t>learnset &lt;= L14</t>
        </is>
      </c>
      <c r="U23" t="inlineStr">
        <is>
          <t>https://img.pokemondb.net/sprites/home/normal/munchlax.png</t>
        </is>
      </c>
      <c r="V23">
        <f>IMAGE("https://img.pokemondb.net/sprites/home/normal/munchlax.png")</f>
      </c>
    </row>
    <row r="24">
      <c r="A24" t="inlineStr">
        <is>
          <t>15</t>
        </is>
      </c>
      <c r="B24" t="inlineStr">
        <is>
          <t>Beauty</t>
        </is>
      </c>
      <c r="C24" t="inlineStr">
        <is>
          <t>TRAINERCLASS_BEAUTY</t>
        </is>
      </c>
      <c r="D24" t="inlineStr">
        <is>
          <t>Belle</t>
        </is>
      </c>
      <c r="E24" t="inlineStr">
        <is>
          <t>Route 3, lato post-grotta</t>
        </is>
      </c>
      <c r="F24" t="inlineStr">
        <is>
          <t>Double Battle</t>
        </is>
      </c>
      <c r="G24" t="inlineStr">
        <is>
          <t/>
        </is>
      </c>
      <c r="H24" t="inlineStr">
        <is>
          <t>1</t>
        </is>
      </c>
      <c r="I24" t="inlineStr">
        <is>
          <t>yes</t>
        </is>
      </c>
      <c r="J24" t="inlineStr">
        <is>
          <t>Shinx</t>
        </is>
      </c>
      <c r="K24" t="inlineStr">
        <is>
          <t>SPECIES_SHINX</t>
        </is>
      </c>
      <c r="L24" t="inlineStr">
        <is>
          <t>15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Leer</t>
        </is>
      </c>
      <c r="Q24" t="inlineStr">
        <is>
          <t>Thunder Shock</t>
        </is>
      </c>
      <c r="R24" t="inlineStr">
        <is>
          <t>Charge</t>
        </is>
      </c>
      <c r="S24" t="inlineStr">
        <is>
          <t>Bite</t>
        </is>
      </c>
      <c r="T24" t="inlineStr">
        <is>
          <t>learnset &lt;= L15</t>
        </is>
      </c>
      <c r="U24" t="inlineStr">
        <is>
          <t>https://img.pokemondb.net/sprites/home/normal/shinx.png</t>
        </is>
      </c>
      <c r="V24">
        <f>IMAGE("https://img.pokemondb.net/sprites/home/normal/shinx.png")</f>
      </c>
    </row>
    <row r="25">
      <c r="A25" t="inlineStr">
        <is>
          <t>15</t>
        </is>
      </c>
      <c r="B25" t="inlineStr">
        <is>
          <t>Beauty</t>
        </is>
      </c>
      <c r="C25" t="inlineStr">
        <is>
          <t>TRAINERCLASS_BEAUTY</t>
        </is>
      </c>
      <c r="D25" t="inlineStr">
        <is>
          <t>Belle</t>
        </is>
      </c>
      <c r="E25" t="inlineStr">
        <is>
          <t>Route 3, lato post-grotta</t>
        </is>
      </c>
      <c r="F25" t="inlineStr">
        <is>
          <t>Double Battle</t>
        </is>
      </c>
      <c r="G25" t="inlineStr">
        <is>
          <t/>
        </is>
      </c>
      <c r="H25" t="inlineStr">
        <is>
          <t>2</t>
        </is>
      </c>
      <c r="I25" t="inlineStr">
        <is>
          <t/>
        </is>
      </c>
      <c r="J25" t="inlineStr">
        <is>
          <t>Jigglypuff</t>
        </is>
      </c>
      <c r="K25" t="inlineStr">
        <is>
          <t>SPECIES_JIGGLYPUFF</t>
        </is>
      </c>
      <c r="L25" t="inlineStr">
        <is>
          <t>11</t>
        </is>
      </c>
      <c r="M25" t="inlineStr">
        <is>
          <t/>
        </is>
      </c>
      <c r="N25" t="inlineStr">
        <is>
          <t>0</t>
        </is>
      </c>
      <c r="O25" t="inlineStr">
        <is>
          <t>0</t>
        </is>
      </c>
      <c r="P25" t="inlineStr">
        <is>
          <t>Disable</t>
        </is>
      </c>
      <c r="Q25" t="inlineStr">
        <is>
          <t>Pound</t>
        </is>
      </c>
      <c r="R25" t="inlineStr">
        <is>
          <t>Echoed Voice</t>
        </is>
      </c>
      <c r="S25" t="inlineStr">
        <is>
          <t>Covet</t>
        </is>
      </c>
      <c r="T25" t="inlineStr">
        <is>
          <t>learnset &lt;= L11</t>
        </is>
      </c>
      <c r="U25" t="inlineStr">
        <is>
          <t>https://img.pokemondb.net/sprites/home/normal/jigglypuff.png</t>
        </is>
      </c>
      <c r="V25">
        <f>IMAGE("https://img.pokemondb.net/sprites/home/normal/jigglypuff.png")</f>
      </c>
    </row>
    <row r="26">
      <c r="A26" t="inlineStr">
        <is>
          <t>15</t>
        </is>
      </c>
      <c r="B26" t="inlineStr">
        <is>
          <t>Beauty</t>
        </is>
      </c>
      <c r="C26" t="inlineStr">
        <is>
          <t>TRAINERCLASS_BEAUTY</t>
        </is>
      </c>
      <c r="D26" t="inlineStr">
        <is>
          <t>Belle</t>
        </is>
      </c>
      <c r="E26" t="inlineStr">
        <is>
          <t>Route 3, lato post-grotta</t>
        </is>
      </c>
      <c r="F26" t="inlineStr">
        <is>
          <t>Double Battle</t>
        </is>
      </c>
      <c r="G26" t="inlineStr">
        <is>
          <t/>
        </is>
      </c>
      <c r="H26" t="inlineStr">
        <is>
          <t>3</t>
        </is>
      </c>
      <c r="I26" t="inlineStr">
        <is>
          <t/>
        </is>
      </c>
      <c r="J26" t="inlineStr">
        <is>
          <t>Seedot</t>
        </is>
      </c>
      <c r="K26" t="inlineStr">
        <is>
          <t>SPECIES_SEEDOT</t>
        </is>
      </c>
      <c r="L26" t="inlineStr">
        <is>
          <t>12</t>
        </is>
      </c>
      <c r="M26" t="inlineStr">
        <is>
          <t/>
        </is>
      </c>
      <c r="N26" t="inlineStr">
        <is>
          <t>0</t>
        </is>
      </c>
      <c r="O26" t="inlineStr">
        <is>
          <t>0</t>
        </is>
      </c>
      <c r="P26" t="inlineStr">
        <is>
          <t>Absorb</t>
        </is>
      </c>
      <c r="Q26" t="inlineStr">
        <is>
          <t>Astonish</t>
        </is>
      </c>
      <c r="R26" t="inlineStr">
        <is>
          <t>Growth</t>
        </is>
      </c>
      <c r="S26" t="inlineStr">
        <is>
          <t>Rollout</t>
        </is>
      </c>
      <c r="T26" t="inlineStr">
        <is>
          <t>learnset &lt;= L12</t>
        </is>
      </c>
      <c r="U26" t="inlineStr">
        <is>
          <t>https://img.pokemondb.net/sprites/home/normal/seedot.png</t>
        </is>
      </c>
      <c r="V26">
        <f>IMAGE("https://img.pokemondb.net/sprites/home/normal/seedot.png")</f>
      </c>
    </row>
    <row r="27">
      <c r="A27" t="inlineStr">
        <is>
          <t>16</t>
        </is>
      </c>
      <c r="B27" t="inlineStr">
        <is>
          <t>Black Belt</t>
        </is>
      </c>
      <c r="C27" t="inlineStr">
        <is>
          <t>TRAINERCLASS_BLACK_BELT</t>
        </is>
      </c>
      <c r="D27" t="inlineStr">
        <is>
          <t>Simon</t>
        </is>
      </c>
      <c r="E27" t="inlineStr">
        <is>
          <t>Route 3, lato post-grotta</t>
        </is>
      </c>
      <c r="F27" t="inlineStr">
        <is>
          <t>Double Battle</t>
        </is>
      </c>
      <c r="G27" t="inlineStr">
        <is>
          <t/>
        </is>
      </c>
      <c r="H27" t="inlineStr">
        <is>
          <t>1</t>
        </is>
      </c>
      <c r="I27" t="inlineStr">
        <is>
          <t>yes</t>
        </is>
      </c>
      <c r="J27" t="inlineStr">
        <is>
          <t>Riolu</t>
        </is>
      </c>
      <c r="K27" t="inlineStr">
        <is>
          <t>SPECIES_RIOLU</t>
        </is>
      </c>
      <c r="L27" t="inlineStr">
        <is>
          <t>14</t>
        </is>
      </c>
      <c r="M27" t="inlineStr">
        <is>
          <t/>
        </is>
      </c>
      <c r="N27" t="inlineStr">
        <is>
          <t>0</t>
        </is>
      </c>
      <c r="O27" t="inlineStr">
        <is>
          <t>0</t>
        </is>
      </c>
      <c r="P27" t="inlineStr">
        <is>
          <t>Endure</t>
        </is>
      </c>
      <c r="Q27" t="inlineStr">
        <is>
          <t>Feint</t>
        </is>
      </c>
      <c r="R27" t="inlineStr">
        <is>
          <t>Metal Claw</t>
        </is>
      </c>
      <c r="S27" t="inlineStr">
        <is>
          <t>Counter</t>
        </is>
      </c>
      <c r="T27" t="inlineStr">
        <is>
          <t>learnset &lt;= L14</t>
        </is>
      </c>
      <c r="U27" t="inlineStr">
        <is>
          <t>https://img.pokemondb.net/sprites/home/normal/riolu.png</t>
        </is>
      </c>
      <c r="V27">
        <f>IMAGE("https://img.pokemondb.net/sprites/home/normal/riolu.png")</f>
      </c>
    </row>
    <row r="28">
      <c r="A28" t="inlineStr">
        <is>
          <t>16</t>
        </is>
      </c>
      <c r="B28" t="inlineStr">
        <is>
          <t>Black Belt</t>
        </is>
      </c>
      <c r="C28" t="inlineStr">
        <is>
          <t>TRAINERCLASS_BLACK_BELT</t>
        </is>
      </c>
      <c r="D28" t="inlineStr">
        <is>
          <t>Simon</t>
        </is>
      </c>
      <c r="E28" t="inlineStr">
        <is>
          <t>Route 3, lato post-grotta</t>
        </is>
      </c>
      <c r="F28" t="inlineStr">
        <is>
          <t>Double Battle</t>
        </is>
      </c>
      <c r="G28" t="inlineStr">
        <is>
          <t/>
        </is>
      </c>
      <c r="H28" t="inlineStr">
        <is>
          <t>2</t>
        </is>
      </c>
      <c r="I28" t="inlineStr">
        <is>
          <t/>
        </is>
      </c>
      <c r="J28" t="inlineStr">
        <is>
          <t>Machop</t>
        </is>
      </c>
      <c r="K28" t="inlineStr">
        <is>
          <t>SPECIES_MACHOP</t>
        </is>
      </c>
      <c r="L28" t="inlineStr">
        <is>
          <t>11</t>
        </is>
      </c>
      <c r="M28" t="inlineStr">
        <is>
          <t/>
        </is>
      </c>
      <c r="N28" t="inlineStr">
        <is>
          <t>0</t>
        </is>
      </c>
      <c r="O28" t="inlineStr">
        <is>
          <t>0</t>
        </is>
      </c>
      <c r="P28" t="inlineStr">
        <is>
          <t>Leer</t>
        </is>
      </c>
      <c r="Q28" t="inlineStr">
        <is>
          <t>Low Kick</t>
        </is>
      </c>
      <c r="R28" t="inlineStr">
        <is>
          <t>Focus Energy</t>
        </is>
      </c>
      <c r="S28" t="inlineStr">
        <is>
          <t>Revenge</t>
        </is>
      </c>
      <c r="T28" t="inlineStr">
        <is>
          <t>learnset &lt;= L11</t>
        </is>
      </c>
      <c r="U28" t="inlineStr">
        <is>
          <t>https://img.pokemondb.net/sprites/home/normal/machop.png</t>
        </is>
      </c>
      <c r="V28">
        <f>IMAGE("https://img.pokemondb.net/sprites/home/normal/machop.png")</f>
      </c>
    </row>
    <row r="29">
      <c r="A29" t="inlineStr">
        <is>
          <t>16</t>
        </is>
      </c>
      <c r="B29" t="inlineStr">
        <is>
          <t>Black Belt</t>
        </is>
      </c>
      <c r="C29" t="inlineStr">
        <is>
          <t>TRAINERCLASS_BLACK_BELT</t>
        </is>
      </c>
      <c r="D29" t="inlineStr">
        <is>
          <t>Simon</t>
        </is>
      </c>
      <c r="E29" t="inlineStr">
        <is>
          <t>Route 3, lato post-grotta</t>
        </is>
      </c>
      <c r="F29" t="inlineStr">
        <is>
          <t>Double Battle</t>
        </is>
      </c>
      <c r="G29" t="inlineStr">
        <is>
          <t/>
        </is>
      </c>
      <c r="H29" t="inlineStr">
        <is>
          <t>3</t>
        </is>
      </c>
      <c r="I29" t="inlineStr">
        <is>
          <t/>
        </is>
      </c>
      <c r="J29" t="inlineStr">
        <is>
          <t>Chimchar</t>
        </is>
      </c>
      <c r="K29" t="inlineStr">
        <is>
          <t>SPECIES_CHIMCHAR</t>
        </is>
      </c>
      <c r="L29" t="inlineStr">
        <is>
          <t>11</t>
        </is>
      </c>
      <c r="M29" t="inlineStr">
        <is>
          <t/>
        </is>
      </c>
      <c r="N29" t="inlineStr">
        <is>
          <t>0</t>
        </is>
      </c>
      <c r="O29" t="inlineStr">
        <is>
          <t>0</t>
        </is>
      </c>
      <c r="P29" t="inlineStr">
        <is>
          <t>Scratch</t>
        </is>
      </c>
      <c r="Q29" t="inlineStr">
        <is>
          <t>Leer</t>
        </is>
      </c>
      <c r="R29" t="inlineStr">
        <is>
          <t>Ember</t>
        </is>
      </c>
      <c r="S29" t="inlineStr">
        <is>
          <t>Taunt</t>
        </is>
      </c>
      <c r="T29" t="inlineStr">
        <is>
          <t>learnset &lt;= L11</t>
        </is>
      </c>
      <c r="U29" t="inlineStr">
        <is>
          <t>https://img.pokemondb.net/sprites/home/normal/chimchar.png</t>
        </is>
      </c>
      <c r="V29">
        <f>IMAGE("https://img.pokemondb.net/sprites/home/normal/chimchar.png")</f>
      </c>
    </row>
    <row r="30">
      <c r="A30" t="inlineStr">
        <is>
          <t>17</t>
        </is>
      </c>
      <c r="B30" t="inlineStr">
        <is>
          <t>Picnicker</t>
        </is>
      </c>
      <c r="C30" t="inlineStr">
        <is>
          <t>TRAINERCLASS_PICNICKER</t>
        </is>
      </c>
      <c r="D30" t="inlineStr">
        <is>
          <t>Solana</t>
        </is>
      </c>
      <c r="E30" t="inlineStr">
        <is>
          <t>Route 3, lato post-grotta</t>
        </is>
      </c>
      <c r="F30" t="inlineStr">
        <is>
          <t>Double Battle</t>
        </is>
      </c>
      <c r="G30" t="inlineStr">
        <is>
          <t/>
        </is>
      </c>
      <c r="H30" t="inlineStr">
        <is>
          <t>1</t>
        </is>
      </c>
      <c r="I30" t="inlineStr">
        <is>
          <t/>
        </is>
      </c>
      <c r="J30" t="inlineStr">
        <is>
          <t>Ditto</t>
        </is>
      </c>
      <c r="K30" t="inlineStr">
        <is>
          <t>SPECIES_DITTO</t>
        </is>
      </c>
      <c r="L30" t="inlineStr">
        <is>
          <t>12</t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Transform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learnset &lt;= L12</t>
        </is>
      </c>
      <c r="U30" t="inlineStr">
        <is>
          <t>https://img.pokemondb.net/sprites/home/normal/ditto.png</t>
        </is>
      </c>
      <c r="V30">
        <f>IMAGE("https://img.pokemondb.net/sprites/home/normal/ditto.png")</f>
      </c>
    </row>
    <row r="31">
      <c r="A31" t="inlineStr">
        <is>
          <t>17</t>
        </is>
      </c>
      <c r="B31" t="inlineStr">
        <is>
          <t>Picnicker</t>
        </is>
      </c>
      <c r="C31" t="inlineStr">
        <is>
          <t>TRAINERCLASS_PICNICKER</t>
        </is>
      </c>
      <c r="D31" t="inlineStr">
        <is>
          <t>Solana</t>
        </is>
      </c>
      <c r="E31" t="inlineStr">
        <is>
          <t>Route 3, lato post-grotta</t>
        </is>
      </c>
      <c r="F31" t="inlineStr">
        <is>
          <t>Double Battle</t>
        </is>
      </c>
      <c r="G31" t="inlineStr">
        <is>
          <t/>
        </is>
      </c>
      <c r="H31" t="inlineStr">
        <is>
          <t>2</t>
        </is>
      </c>
      <c r="I31" t="inlineStr">
        <is>
          <t/>
        </is>
      </c>
      <c r="J31" t="inlineStr">
        <is>
          <t>Smoochum</t>
        </is>
      </c>
      <c r="K31" t="inlineStr">
        <is>
          <t>SPECIES_SMOOCHUM</t>
        </is>
      </c>
      <c r="L31" t="inlineStr">
        <is>
          <t>11</t>
        </is>
      </c>
      <c r="M31" t="inlineStr">
        <is>
          <t/>
        </is>
      </c>
      <c r="N31" t="inlineStr">
        <is>
          <t>0</t>
        </is>
      </c>
      <c r="O31" t="inlineStr">
        <is>
          <t>0</t>
        </is>
      </c>
      <c r="P31" t="inlineStr">
        <is>
          <t>Lick</t>
        </is>
      </c>
      <c r="Q31" t="inlineStr">
        <is>
          <t>Pound</t>
        </is>
      </c>
      <c r="R31" t="inlineStr">
        <is>
          <t>Powder Snow</t>
        </is>
      </c>
      <c r="S31" t="inlineStr">
        <is>
          <t>Copycat</t>
        </is>
      </c>
      <c r="T31" t="inlineStr">
        <is>
          <t>learnset &lt;= L11</t>
        </is>
      </c>
      <c r="U31" t="inlineStr">
        <is>
          <t>https://img.pokemondb.net/sprites/home/normal/smoochum.png</t>
        </is>
      </c>
      <c r="V31">
        <f>IMAGE("https://img.pokemondb.net/sprites/home/normal/smoochum.png")</f>
      </c>
    </row>
    <row r="32">
      <c r="A32" t="inlineStr">
        <is>
          <t>17</t>
        </is>
      </c>
      <c r="B32" t="inlineStr">
        <is>
          <t>Picnicker</t>
        </is>
      </c>
      <c r="C32" t="inlineStr">
        <is>
          <t>TRAINERCLASS_PICNICKER</t>
        </is>
      </c>
      <c r="D32" t="inlineStr">
        <is>
          <t>Solana</t>
        </is>
      </c>
      <c r="E32" t="inlineStr">
        <is>
          <t>Route 3, lato post-grotta</t>
        </is>
      </c>
      <c r="F32" t="inlineStr">
        <is>
          <t>Double Battle</t>
        </is>
      </c>
      <c r="G32" t="inlineStr">
        <is>
          <t/>
        </is>
      </c>
      <c r="H32" t="inlineStr">
        <is>
          <t>3</t>
        </is>
      </c>
      <c r="I32" t="inlineStr">
        <is>
          <t/>
        </is>
      </c>
      <c r="J32" t="inlineStr">
        <is>
          <t>Elekid</t>
        </is>
      </c>
      <c r="K32" t="inlineStr">
        <is>
          <t>SPECIES_ELEKID</t>
        </is>
      </c>
      <c r="L32" t="inlineStr">
        <is>
          <t>11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Leer</t>
        </is>
      </c>
      <c r="Q32" t="inlineStr">
        <is>
          <t>Quick Attack</t>
        </is>
      </c>
      <c r="R32" t="inlineStr">
        <is>
          <t>Thunder Shock</t>
        </is>
      </c>
      <c r="S32" t="inlineStr">
        <is>
          <t>Charge</t>
        </is>
      </c>
      <c r="T32" t="inlineStr">
        <is>
          <t>learnset &lt;= L11</t>
        </is>
      </c>
      <c r="U32" t="inlineStr">
        <is>
          <t>https://img.pokemondb.net/sprites/home/normal/elekid.png</t>
        </is>
      </c>
      <c r="V32">
        <f>IMAGE("https://img.pokemondb.net/sprites/home/normal/elekid.png")</f>
      </c>
    </row>
    <row r="33">
      <c r="A33" t="inlineStr">
        <is>
          <t>17</t>
        </is>
      </c>
      <c r="B33" t="inlineStr">
        <is>
          <t>Picnicker</t>
        </is>
      </c>
      <c r="C33" t="inlineStr">
        <is>
          <t>TRAINERCLASS_PICNICKER</t>
        </is>
      </c>
      <c r="D33" t="inlineStr">
        <is>
          <t>Solana</t>
        </is>
      </c>
      <c r="E33" t="inlineStr">
        <is>
          <t>Route 3, lato post-grotta</t>
        </is>
      </c>
      <c r="F33" t="inlineStr">
        <is>
          <t>Double Battle</t>
        </is>
      </c>
      <c r="G33" t="inlineStr">
        <is>
          <t/>
        </is>
      </c>
      <c r="H33" t="inlineStr">
        <is>
          <t>4</t>
        </is>
      </c>
      <c r="I33" t="inlineStr">
        <is>
          <t/>
        </is>
      </c>
      <c r="J33" t="inlineStr">
        <is>
          <t>Magby</t>
        </is>
      </c>
      <c r="K33" t="inlineStr">
        <is>
          <t>SPECIES_MAGBY</t>
        </is>
      </c>
      <c r="L33" t="inlineStr">
        <is>
          <t>11</t>
        </is>
      </c>
      <c r="M33" t="inlineStr">
        <is>
          <t/>
        </is>
      </c>
      <c r="N33" t="inlineStr">
        <is>
          <t>0</t>
        </is>
      </c>
      <c r="O33" t="inlineStr">
        <is>
          <t>0</t>
        </is>
      </c>
      <c r="P33" t="inlineStr">
        <is>
          <t>Leer</t>
        </is>
      </c>
      <c r="Q33" t="inlineStr">
        <is>
          <t>Smog</t>
        </is>
      </c>
      <c r="R33" t="inlineStr">
        <is>
          <t>Ember</t>
        </is>
      </c>
      <c r="S33" t="inlineStr">
        <is>
          <t>Smokescreen</t>
        </is>
      </c>
      <c r="T33" t="inlineStr">
        <is>
          <t>learnset &lt;= L11</t>
        </is>
      </c>
      <c r="U33" t="inlineStr">
        <is>
          <t>https://img.pokemondb.net/sprites/home/normal/magby.png</t>
        </is>
      </c>
      <c r="V33">
        <f>IMAGE("https://img.pokemondb.net/sprites/home/normal/magby.png")</f>
      </c>
    </row>
    <row r="34">
      <c r="A34" t="inlineStr">
        <is>
          <t>17</t>
        </is>
      </c>
      <c r="B34" t="inlineStr">
        <is>
          <t>Picnicker</t>
        </is>
      </c>
      <c r="C34" t="inlineStr">
        <is>
          <t>TRAINERCLASS_PICNICKER</t>
        </is>
      </c>
      <c r="D34" t="inlineStr">
        <is>
          <t>Solana</t>
        </is>
      </c>
      <c r="E34" t="inlineStr">
        <is>
          <t>Route 3, lato post-grotta</t>
        </is>
      </c>
      <c r="F34" t="inlineStr">
        <is>
          <t>Double Battle</t>
        </is>
      </c>
      <c r="G34" t="inlineStr">
        <is>
          <t/>
        </is>
      </c>
      <c r="H34" t="inlineStr">
        <is>
          <t>5</t>
        </is>
      </c>
      <c r="I34" t="inlineStr">
        <is>
          <t>yes</t>
        </is>
      </c>
      <c r="J34" t="inlineStr">
        <is>
          <t>Phanpy</t>
        </is>
      </c>
      <c r="K34" t="inlineStr">
        <is>
          <t>SPECIES_PHANPY</t>
        </is>
      </c>
      <c r="L34" t="inlineStr">
        <is>
          <t>13</t>
        </is>
      </c>
      <c r="M34" t="inlineStr">
        <is>
          <t/>
        </is>
      </c>
      <c r="N34" t="inlineStr">
        <is>
          <t>0</t>
        </is>
      </c>
      <c r="O34" t="inlineStr">
        <is>
          <t>0</t>
        </is>
      </c>
      <c r="P34" t="inlineStr">
        <is>
          <t>Growl</t>
        </is>
      </c>
      <c r="Q34" t="inlineStr">
        <is>
          <t>Defense Curl</t>
        </is>
      </c>
      <c r="R34" t="inlineStr">
        <is>
          <t>Flail</t>
        </is>
      </c>
      <c r="S34" t="inlineStr">
        <is>
          <t>Rollout</t>
        </is>
      </c>
      <c r="T34" t="inlineStr">
        <is>
          <t>learnset &lt;= L13</t>
        </is>
      </c>
      <c r="U34" t="inlineStr">
        <is>
          <t>https://img.pokemondb.net/sprites/home/normal/phanpy.png</t>
        </is>
      </c>
      <c r="V34">
        <f>IMAGE("https://img.pokemondb.net/sprites/home/normal/phanpy.png")</f>
      </c>
    </row>
    <row r="35">
      <c r="A35" t="inlineStr">
        <is>
          <t>18</t>
        </is>
      </c>
      <c r="B35" t="inlineStr">
        <is>
          <t>Hiker</t>
        </is>
      </c>
      <c r="C35" t="inlineStr">
        <is>
          <t>TRAINERCLASS_HIKER</t>
        </is>
      </c>
      <c r="D35" t="inlineStr">
        <is>
          <t>Justin</t>
        </is>
      </c>
      <c r="E35" t="inlineStr">
        <is>
          <t>Route 3, Ravaged Path</t>
        </is>
      </c>
      <c r="F35" t="inlineStr">
        <is>
          <t>Double Battle</t>
        </is>
      </c>
      <c r="G35" t="inlineStr">
        <is>
          <t/>
        </is>
      </c>
      <c r="H35" t="inlineStr">
        <is>
          <t>1</t>
        </is>
      </c>
      <c r="I35" t="inlineStr">
        <is>
          <t>yes</t>
        </is>
      </c>
      <c r="J35" t="inlineStr">
        <is>
          <t>Drilbur</t>
        </is>
      </c>
      <c r="K35" t="inlineStr">
        <is>
          <t>SPECIES_DRILBUR</t>
        </is>
      </c>
      <c r="L35" t="inlineStr">
        <is>
          <t>12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Rapid Spin</t>
        </is>
      </c>
      <c r="Q35" t="inlineStr">
        <is>
          <t>Scratch</t>
        </is>
      </c>
      <c r="R35" t="inlineStr">
        <is>
          <t>Hone Claws</t>
        </is>
      </c>
      <c r="S35" t="inlineStr">
        <is>
          <t>Fury Swipes</t>
        </is>
      </c>
      <c r="T35" t="inlineStr">
        <is>
          <t>learnset &lt;= L12</t>
        </is>
      </c>
      <c r="U35" t="inlineStr">
        <is>
          <t>https://img.pokemondb.net/sprites/home/normal/drilbur.png</t>
        </is>
      </c>
      <c r="V35">
        <f>IMAGE("https://img.pokemondb.net/sprites/home/normal/drilbur.png")</f>
      </c>
    </row>
    <row r="36">
      <c r="A36" t="inlineStr">
        <is>
          <t>18</t>
        </is>
      </c>
      <c r="B36" t="inlineStr">
        <is>
          <t>Hiker</t>
        </is>
      </c>
      <c r="C36" t="inlineStr">
        <is>
          <t>TRAINERCLASS_HIKER</t>
        </is>
      </c>
      <c r="D36" t="inlineStr">
        <is>
          <t>Justin</t>
        </is>
      </c>
      <c r="E36" t="inlineStr">
        <is>
          <t>Route 3, Ravaged Path</t>
        </is>
      </c>
      <c r="F36" t="inlineStr">
        <is>
          <t>Double Battle</t>
        </is>
      </c>
      <c r="G36" t="inlineStr">
        <is>
          <t/>
        </is>
      </c>
      <c r="H36" t="inlineStr">
        <is>
          <t>2</t>
        </is>
      </c>
      <c r="I36" t="inlineStr">
        <is>
          <t/>
        </is>
      </c>
      <c r="J36" t="inlineStr">
        <is>
          <t>Diglett</t>
        </is>
      </c>
      <c r="K36" t="inlineStr">
        <is>
          <t>SPECIES_DIGLETT</t>
        </is>
      </c>
      <c r="L36" t="inlineStr">
        <is>
          <t>8</t>
        </is>
      </c>
      <c r="M36" t="inlineStr">
        <is>
          <t/>
        </is>
      </c>
      <c r="N36" t="inlineStr">
        <is>
          <t>0</t>
        </is>
      </c>
      <c r="O36" t="inlineStr">
        <is>
          <t>0</t>
        </is>
      </c>
      <c r="P36" t="inlineStr">
        <is>
          <t>Scratch</t>
        </is>
      </c>
      <c r="Q36" t="inlineStr">
        <is>
          <t>Sand Attack</t>
        </is>
      </c>
      <c r="R36" t="inlineStr">
        <is>
          <t>Growl</t>
        </is>
      </c>
      <c r="S36" t="inlineStr">
        <is>
          <t>Astonish</t>
        </is>
      </c>
      <c r="T36" t="inlineStr">
        <is>
          <t>learnset &lt;= L8</t>
        </is>
      </c>
      <c r="U36" t="inlineStr">
        <is>
          <t>https://img.pokemondb.net/sprites/home/normal/diglett.png</t>
        </is>
      </c>
      <c r="V36">
        <f>IMAGE("https://img.pokemondb.net/sprites/home/normal/diglett.png")</f>
      </c>
    </row>
    <row r="37">
      <c r="A37" t="inlineStr">
        <is>
          <t>18</t>
        </is>
      </c>
      <c r="B37" t="inlineStr">
        <is>
          <t>Hiker</t>
        </is>
      </c>
      <c r="C37" t="inlineStr">
        <is>
          <t>TRAINERCLASS_HIKER</t>
        </is>
      </c>
      <c r="D37" t="inlineStr">
        <is>
          <t>Justin</t>
        </is>
      </c>
      <c r="E37" t="inlineStr">
        <is>
          <t>Route 3, Ravaged Path</t>
        </is>
      </c>
      <c r="F37" t="inlineStr">
        <is>
          <t>Double Battle</t>
        </is>
      </c>
      <c r="G37" t="inlineStr">
        <is>
          <t/>
        </is>
      </c>
      <c r="H37" t="inlineStr">
        <is>
          <t>3</t>
        </is>
      </c>
      <c r="I37" t="inlineStr">
        <is>
          <t/>
        </is>
      </c>
      <c r="J37" t="inlineStr">
        <is>
          <t>Diglett</t>
        </is>
      </c>
      <c r="K37" t="inlineStr">
        <is>
          <t>SPECIES_DIGLETT</t>
        </is>
      </c>
      <c r="L37" t="inlineStr">
        <is>
          <t>8</t>
        </is>
      </c>
      <c r="M37" t="inlineStr">
        <is>
          <t/>
        </is>
      </c>
      <c r="N37" t="inlineStr">
        <is>
          <t>0</t>
        </is>
      </c>
      <c r="O37" t="inlineStr">
        <is>
          <t>0</t>
        </is>
      </c>
      <c r="P37" t="inlineStr">
        <is>
          <t>Scratch</t>
        </is>
      </c>
      <c r="Q37" t="inlineStr">
        <is>
          <t>Sand Attack</t>
        </is>
      </c>
      <c r="R37" t="inlineStr">
        <is>
          <t>Growl</t>
        </is>
      </c>
      <c r="S37" t="inlineStr">
        <is>
          <t>Astonish</t>
        </is>
      </c>
      <c r="T37" t="inlineStr">
        <is>
          <t>learnset &lt;= L8</t>
        </is>
      </c>
      <c r="U37" t="inlineStr">
        <is>
          <t>https://img.pokemondb.net/sprites/home/normal/diglett.png</t>
        </is>
      </c>
      <c r="V37">
        <f>IMAGE("https://img.pokemondb.net/sprites/home/normal/diglett.png")</f>
      </c>
    </row>
    <row r="38">
      <c r="A38" t="inlineStr">
        <is>
          <t>18</t>
        </is>
      </c>
      <c r="B38" t="inlineStr">
        <is>
          <t>Hiker</t>
        </is>
      </c>
      <c r="C38" t="inlineStr">
        <is>
          <t>TRAINERCLASS_HIKER</t>
        </is>
      </c>
      <c r="D38" t="inlineStr">
        <is>
          <t>Justin</t>
        </is>
      </c>
      <c r="E38" t="inlineStr">
        <is>
          <t>Route 3, Ravaged Path</t>
        </is>
      </c>
      <c r="F38" t="inlineStr">
        <is>
          <t>Double Battle</t>
        </is>
      </c>
      <c r="G38" t="inlineStr">
        <is>
          <t/>
        </is>
      </c>
      <c r="H38" t="inlineStr">
        <is>
          <t>4</t>
        </is>
      </c>
      <c r="I38" t="inlineStr">
        <is>
          <t/>
        </is>
      </c>
      <c r="J38" t="inlineStr">
        <is>
          <t>Diglett</t>
        </is>
      </c>
      <c r="K38" t="inlineStr">
        <is>
          <t>SPECIES_DIGLETT</t>
        </is>
      </c>
      <c r="L38" t="inlineStr">
        <is>
          <t>8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Scratch</t>
        </is>
      </c>
      <c r="Q38" t="inlineStr">
        <is>
          <t>Sand Attack</t>
        </is>
      </c>
      <c r="R38" t="inlineStr">
        <is>
          <t>Growl</t>
        </is>
      </c>
      <c r="S38" t="inlineStr">
        <is>
          <t>Astonish</t>
        </is>
      </c>
      <c r="T38" t="inlineStr">
        <is>
          <t>learnset &lt;= L8</t>
        </is>
      </c>
      <c r="U38" t="inlineStr">
        <is>
          <t>https://img.pokemondb.net/sprites/home/normal/diglett.png</t>
        </is>
      </c>
      <c r="V38">
        <f>IMAGE("https://img.pokemondb.net/sprites/home/normal/diglett.png")</f>
      </c>
    </row>
    <row r="39">
      <c r="A39" t="inlineStr">
        <is>
          <t>19</t>
        </is>
      </c>
      <c r="B39" t="inlineStr">
        <is>
          <t>Fisherman</t>
        </is>
      </c>
      <c r="C39" t="inlineStr">
        <is>
          <t>TRAINERCLASS_FISHERMAN</t>
        </is>
      </c>
      <c r="D39" t="inlineStr">
        <is>
          <t>John</t>
        </is>
      </c>
      <c r="E39" t="inlineStr">
        <is>
          <t>Heritage Park, evento pescatore</t>
        </is>
      </c>
      <c r="F39" t="inlineStr">
        <is>
          <t>Double Battle</t>
        </is>
      </c>
      <c r="G39" t="inlineStr">
        <is>
          <t/>
        </is>
      </c>
      <c r="H39" t="inlineStr">
        <is>
          <t>1</t>
        </is>
      </c>
      <c r="I39" t="inlineStr">
        <is>
          <t>yes</t>
        </is>
      </c>
      <c r="J39" t="inlineStr">
        <is>
          <t>Kingler</t>
        </is>
      </c>
      <c r="K39" t="inlineStr">
        <is>
          <t>SPECIES_KINGLER</t>
        </is>
      </c>
      <c r="L39" t="inlineStr">
        <is>
          <t>60</t>
        </is>
      </c>
      <c r="M39" t="inlineStr">
        <is>
          <t/>
        </is>
      </c>
      <c r="N39" t="inlineStr">
        <is>
          <t>0</t>
        </is>
      </c>
      <c r="O39" t="inlineStr">
        <is>
          <t>0</t>
        </is>
      </c>
      <c r="P39" t="inlineStr">
        <is>
          <t>Slam</t>
        </is>
      </c>
      <c r="Q39" t="inlineStr">
        <is>
          <t>Swords Dance</t>
        </is>
      </c>
      <c r="R39" t="inlineStr">
        <is>
          <t>Crabhammer</t>
        </is>
      </c>
      <c r="S39" t="inlineStr">
        <is>
          <t>Guillotine</t>
        </is>
      </c>
      <c r="T39" t="inlineStr">
        <is>
          <t>learnset &lt;= L60</t>
        </is>
      </c>
      <c r="U39" t="inlineStr">
        <is>
          <t>https://img.pokemondb.net/sprites/home/normal/kingler.png</t>
        </is>
      </c>
      <c r="V39">
        <f>IMAGE("https://img.pokemondb.net/sprites/home/normal/kingler.png")</f>
      </c>
    </row>
    <row r="40">
      <c r="A40" t="inlineStr">
        <is>
          <t>19</t>
        </is>
      </c>
      <c r="B40" t="inlineStr">
        <is>
          <t>Fisherman</t>
        </is>
      </c>
      <c r="C40" t="inlineStr">
        <is>
          <t>TRAINERCLASS_FISHERMAN</t>
        </is>
      </c>
      <c r="D40" t="inlineStr">
        <is>
          <t>John</t>
        </is>
      </c>
      <c r="E40" t="inlineStr">
        <is>
          <t>Heritage Park, evento pescatore</t>
        </is>
      </c>
      <c r="F40" t="inlineStr">
        <is>
          <t>Double Battle</t>
        </is>
      </c>
      <c r="G40" t="inlineStr">
        <is>
          <t/>
        </is>
      </c>
      <c r="H40" t="inlineStr">
        <is>
          <t>2</t>
        </is>
      </c>
      <c r="I40" t="inlineStr">
        <is>
          <t/>
        </is>
      </c>
      <c r="J40" t="inlineStr">
        <is>
          <t>Whiscash</t>
        </is>
      </c>
      <c r="K40" t="inlineStr">
        <is>
          <t>SPECIES_WHISCASH</t>
        </is>
      </c>
      <c r="L40" t="inlineStr">
        <is>
          <t>58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Muddy Water</t>
        </is>
      </c>
      <c r="Q40" t="inlineStr">
        <is>
          <t>Earthquake</t>
        </is>
      </c>
      <c r="R40" t="inlineStr">
        <is>
          <t>Future Sight</t>
        </is>
      </c>
      <c r="S40" t="inlineStr">
        <is>
          <t>Fissure</t>
        </is>
      </c>
      <c r="T40" t="inlineStr">
        <is>
          <t>learnset &lt;= L58</t>
        </is>
      </c>
      <c r="U40" t="inlineStr">
        <is>
          <t>https://img.pokemondb.net/sprites/home/normal/whiscash.png</t>
        </is>
      </c>
      <c r="V40">
        <f>IMAGE("https://img.pokemondb.net/sprites/home/normal/whiscash.png")</f>
      </c>
    </row>
    <row r="41">
      <c r="A41" t="inlineStr">
        <is>
          <t>19</t>
        </is>
      </c>
      <c r="B41" t="inlineStr">
        <is>
          <t>Fisherman</t>
        </is>
      </c>
      <c r="C41" t="inlineStr">
        <is>
          <t>TRAINERCLASS_FISHERMAN</t>
        </is>
      </c>
      <c r="D41" t="inlineStr">
        <is>
          <t>John</t>
        </is>
      </c>
      <c r="E41" t="inlineStr">
        <is>
          <t>Heritage Park, evento pescatore</t>
        </is>
      </c>
      <c r="F41" t="inlineStr">
        <is>
          <t>Double Battle</t>
        </is>
      </c>
      <c r="G41" t="inlineStr">
        <is>
          <t/>
        </is>
      </c>
      <c r="H41" t="inlineStr">
        <is>
          <t>3</t>
        </is>
      </c>
      <c r="I41" t="inlineStr">
        <is>
          <t/>
        </is>
      </c>
      <c r="J41" t="inlineStr">
        <is>
          <t>Pelipper</t>
        </is>
      </c>
      <c r="K41" t="inlineStr">
        <is>
          <t>SPECIES_PELIPPER</t>
        </is>
      </c>
      <c r="L41" t="inlineStr">
        <is>
          <t>58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Fling</t>
        </is>
      </c>
      <c r="Q41" t="inlineStr">
        <is>
          <t>Mist</t>
        </is>
      </c>
      <c r="R41" t="inlineStr">
        <is>
          <t>Roost</t>
        </is>
      </c>
      <c r="S41" t="inlineStr">
        <is>
          <t>Hurricane</t>
        </is>
      </c>
      <c r="T41" t="inlineStr">
        <is>
          <t>learnset &lt;= L58</t>
        </is>
      </c>
      <c r="U41" t="inlineStr">
        <is>
          <t>https://img.pokemondb.net/sprites/home/normal/pelipper.png</t>
        </is>
      </c>
      <c r="V41">
        <f>IMAGE("https://img.pokemondb.net/sprites/home/normal/pelipper.png")</f>
      </c>
    </row>
    <row r="42">
      <c r="A42" t="inlineStr">
        <is>
          <t>19</t>
        </is>
      </c>
      <c r="B42" t="inlineStr">
        <is>
          <t>Fisherman</t>
        </is>
      </c>
      <c r="C42" t="inlineStr">
        <is>
          <t>TRAINERCLASS_FISHERMAN</t>
        </is>
      </c>
      <c r="D42" t="inlineStr">
        <is>
          <t>John</t>
        </is>
      </c>
      <c r="E42" t="inlineStr">
        <is>
          <t>Heritage Park, evento pescatore</t>
        </is>
      </c>
      <c r="F42" t="inlineStr">
        <is>
          <t>Double Battle</t>
        </is>
      </c>
      <c r="G42" t="inlineStr">
        <is>
          <t/>
        </is>
      </c>
      <c r="H42" t="inlineStr">
        <is>
          <t>4</t>
        </is>
      </c>
      <c r="I42" t="inlineStr">
        <is>
          <t>yes</t>
        </is>
      </c>
      <c r="J42" t="inlineStr">
        <is>
          <t>Slowking</t>
        </is>
      </c>
      <c r="K42" t="inlineStr">
        <is>
          <t>SPECIES_SLOWKING</t>
        </is>
      </c>
      <c r="L42" t="inlineStr">
        <is>
          <t>60</t>
        </is>
      </c>
      <c r="M42" t="inlineStr">
        <is>
          <t/>
        </is>
      </c>
      <c r="N42" t="inlineStr">
        <is>
          <t>0</t>
        </is>
      </c>
      <c r="O42" t="inlineStr">
        <is>
          <t>0</t>
        </is>
      </c>
      <c r="P42" t="inlineStr">
        <is>
          <t>Psychic</t>
        </is>
      </c>
      <c r="Q42" t="inlineStr">
        <is>
          <t>Psych Up</t>
        </is>
      </c>
      <c r="R42" t="inlineStr">
        <is>
          <t>Rain Dance</t>
        </is>
      </c>
      <c r="S42" t="inlineStr">
        <is>
          <t>Heal Pulse</t>
        </is>
      </c>
      <c r="T42" t="inlineStr">
        <is>
          <t>learnset &lt;= L60</t>
        </is>
      </c>
      <c r="U42" t="inlineStr">
        <is>
          <t>https://img.pokemondb.net/sprites/home/normal/slowking.png</t>
        </is>
      </c>
      <c r="V42">
        <f>IMAGE("https://img.pokemondb.net/sprites/home/normal/slowking.png")</f>
      </c>
    </row>
    <row r="43">
      <c r="A43" t="inlineStr">
        <is>
          <t>19</t>
        </is>
      </c>
      <c r="B43" t="inlineStr">
        <is>
          <t>Fisherman</t>
        </is>
      </c>
      <c r="C43" t="inlineStr">
        <is>
          <t>TRAINERCLASS_FISHERMAN</t>
        </is>
      </c>
      <c r="D43" t="inlineStr">
        <is>
          <t>John</t>
        </is>
      </c>
      <c r="E43" t="inlineStr">
        <is>
          <t>Heritage Park, evento pescatore</t>
        </is>
      </c>
      <c r="F43" t="inlineStr">
        <is>
          <t>Double Battle</t>
        </is>
      </c>
      <c r="G43" t="inlineStr">
        <is>
          <t/>
        </is>
      </c>
      <c r="H43" t="inlineStr">
        <is>
          <t>5</t>
        </is>
      </c>
      <c r="I43" t="inlineStr">
        <is>
          <t/>
        </is>
      </c>
      <c r="J43" t="inlineStr">
        <is>
          <t>Lapras</t>
        </is>
      </c>
      <c r="K43" t="inlineStr">
        <is>
          <t>SPECIES_LAPRAS</t>
        </is>
      </c>
      <c r="L43" t="inlineStr">
        <is>
          <t>56</t>
        </is>
      </c>
      <c r="M43" t="inlineStr">
        <is>
          <t/>
        </is>
      </c>
      <c r="N43" t="inlineStr">
        <is>
          <t>0</t>
        </is>
      </c>
      <c r="O43" t="inlineStr">
        <is>
          <t>0</t>
        </is>
      </c>
      <c r="P43" t="inlineStr">
        <is>
          <t>Body Slam</t>
        </is>
      </c>
      <c r="Q43" t="inlineStr">
        <is>
          <t>Ice Beam</t>
        </is>
      </c>
      <c r="R43" t="inlineStr">
        <is>
          <t>Rain Dance</t>
        </is>
      </c>
      <c r="S43" t="inlineStr">
        <is>
          <t>Hydro Pump</t>
        </is>
      </c>
      <c r="T43" t="inlineStr">
        <is>
          <t>learnset &lt;= L56</t>
        </is>
      </c>
      <c r="U43" t="inlineStr">
        <is>
          <t>https://img.pokemondb.net/sprites/home/normal/lapras.png</t>
        </is>
      </c>
      <c r="V43">
        <f>IMAGE("https://img.pokemondb.net/sprites/home/normal/lapras.png")</f>
      </c>
    </row>
    <row r="44">
      <c r="A44" t="inlineStr">
        <is>
          <t>19</t>
        </is>
      </c>
      <c r="B44" t="inlineStr">
        <is>
          <t>Fisherman</t>
        </is>
      </c>
      <c r="C44" t="inlineStr">
        <is>
          <t>TRAINERCLASS_FISHERMAN</t>
        </is>
      </c>
      <c r="D44" t="inlineStr">
        <is>
          <t>John</t>
        </is>
      </c>
      <c r="E44" t="inlineStr">
        <is>
          <t>Heritage Park, evento pescatore</t>
        </is>
      </c>
      <c r="F44" t="inlineStr">
        <is>
          <t>Double Battle</t>
        </is>
      </c>
      <c r="G44" t="inlineStr">
        <is>
          <t/>
        </is>
      </c>
      <c r="H44" t="inlineStr">
        <is>
          <t>6</t>
        </is>
      </c>
      <c r="I44" t="inlineStr">
        <is>
          <t>yes</t>
        </is>
      </c>
      <c r="J44" t="inlineStr">
        <is>
          <t>Wailord</t>
        </is>
      </c>
      <c r="K44" t="inlineStr">
        <is>
          <t>SPECIES_WAILORD</t>
        </is>
      </c>
      <c r="L44" t="inlineStr">
        <is>
          <t>60</t>
        </is>
      </c>
      <c r="M44" t="inlineStr">
        <is>
          <t/>
        </is>
      </c>
      <c r="N44" t="inlineStr">
        <is>
          <t>0</t>
        </is>
      </c>
      <c r="O44" t="inlineStr">
        <is>
          <t>0</t>
        </is>
      </c>
      <c r="P44" t="inlineStr">
        <is>
          <t>Rest</t>
        </is>
      </c>
      <c r="Q44" t="inlineStr">
        <is>
          <t>Amnesia</t>
        </is>
      </c>
      <c r="R44" t="inlineStr">
        <is>
          <t>Hydro Pump</t>
        </is>
      </c>
      <c r="S44" t="inlineStr">
        <is>
          <t>Water Spout</t>
        </is>
      </c>
      <c r="T44" t="inlineStr">
        <is>
          <t>learnset &lt;= L60</t>
        </is>
      </c>
      <c r="U44" t="inlineStr">
        <is>
          <t>https://img.pokemondb.net/sprites/home/normal/wailord.png</t>
        </is>
      </c>
      <c r="V44">
        <f>IMAGE("https://img.pokemondb.net/sprites/home/normal/wailord.png")</f>
      </c>
    </row>
    <row r="45">
      <c r="A45" t="inlineStr">
        <is>
          <t>20</t>
        </is>
      </c>
      <c r="B45" t="inlineStr">
        <is>
          <t>Fisherman</t>
        </is>
      </c>
      <c r="C45" t="inlineStr">
        <is>
          <t>TRAINERCLASS_FISHERMAN</t>
        </is>
      </c>
      <c r="D45" t="inlineStr">
        <is>
          <t>John</t>
        </is>
      </c>
      <c r="E45" t="inlineStr">
        <is>
          <t>Heritage Park, evento pescatore</t>
        </is>
      </c>
      <c r="F45" t="inlineStr">
        <is>
          <t>Double Battle</t>
        </is>
      </c>
      <c r="G45" t="inlineStr">
        <is>
          <t/>
        </is>
      </c>
      <c r="H45" t="inlineStr">
        <is>
          <t>1</t>
        </is>
      </c>
      <c r="I45" t="inlineStr">
        <is>
          <t>yes</t>
        </is>
      </c>
      <c r="J45" t="inlineStr">
        <is>
          <t>Kingler</t>
        </is>
      </c>
      <c r="K45" t="inlineStr">
        <is>
          <t>SPECIES_KINGLER</t>
        </is>
      </c>
      <c r="L45" t="inlineStr">
        <is>
          <t>48</t>
        </is>
      </c>
      <c r="M45" t="inlineStr">
        <is>
          <t/>
        </is>
      </c>
      <c r="N45" t="inlineStr">
        <is>
          <t>0</t>
        </is>
      </c>
      <c r="O45" t="inlineStr">
        <is>
          <t>0</t>
        </is>
      </c>
      <c r="P45" t="inlineStr">
        <is>
          <t>Flail</t>
        </is>
      </c>
      <c r="Q45" t="inlineStr">
        <is>
          <t>Razor Shell</t>
        </is>
      </c>
      <c r="R45" t="inlineStr">
        <is>
          <t>Slam</t>
        </is>
      </c>
      <c r="S45" t="inlineStr">
        <is>
          <t>Swords Dance</t>
        </is>
      </c>
      <c r="T45" t="inlineStr">
        <is>
          <t>learnset &lt;= L48</t>
        </is>
      </c>
      <c r="U45" t="inlineStr">
        <is>
          <t>https://img.pokemondb.net/sprites/home/normal/kingler.png</t>
        </is>
      </c>
      <c r="V45">
        <f>IMAGE("https://img.pokemondb.net/sprites/home/normal/kingler.png")</f>
      </c>
    </row>
    <row r="46">
      <c r="A46" t="inlineStr">
        <is>
          <t>20</t>
        </is>
      </c>
      <c r="B46" t="inlineStr">
        <is>
          <t>Fisherman</t>
        </is>
      </c>
      <c r="C46" t="inlineStr">
        <is>
          <t>TRAINERCLASS_FISHERMAN</t>
        </is>
      </c>
      <c r="D46" t="inlineStr">
        <is>
          <t>John</t>
        </is>
      </c>
      <c r="E46" t="inlineStr">
        <is>
          <t>Heritage Park, evento pescatore</t>
        </is>
      </c>
      <c r="F46" t="inlineStr">
        <is>
          <t>Double Battle</t>
        </is>
      </c>
      <c r="G46" t="inlineStr">
        <is>
          <t/>
        </is>
      </c>
      <c r="H46" t="inlineStr">
        <is>
          <t>2</t>
        </is>
      </c>
      <c r="I46" t="inlineStr">
        <is>
          <t/>
        </is>
      </c>
      <c r="J46" t="inlineStr">
        <is>
          <t>Whiscash</t>
        </is>
      </c>
      <c r="K46" t="inlineStr">
        <is>
          <t>SPECIES_WHISCASH</t>
        </is>
      </c>
      <c r="L46" t="inlineStr">
        <is>
          <t>46</t>
        </is>
      </c>
      <c r="M46" t="inlineStr">
        <is>
          <t/>
        </is>
      </c>
      <c r="N46" t="inlineStr">
        <is>
          <t>0</t>
        </is>
      </c>
      <c r="O46" t="inlineStr">
        <is>
          <t>0</t>
        </is>
      </c>
      <c r="P46" t="inlineStr">
        <is>
          <t>Amnesia</t>
        </is>
      </c>
      <c r="Q46" t="inlineStr">
        <is>
          <t>Aqua Tail</t>
        </is>
      </c>
      <c r="R46" t="inlineStr">
        <is>
          <t>Muddy Water</t>
        </is>
      </c>
      <c r="S46" t="inlineStr">
        <is>
          <t>Earthquake</t>
        </is>
      </c>
      <c r="T46" t="inlineStr">
        <is>
          <t>learnset &lt;= L46</t>
        </is>
      </c>
      <c r="U46" t="inlineStr">
        <is>
          <t>https://img.pokemondb.net/sprites/home/normal/whiscash.png</t>
        </is>
      </c>
      <c r="V46">
        <f>IMAGE("https://img.pokemondb.net/sprites/home/normal/whiscash.png")</f>
      </c>
    </row>
    <row r="47">
      <c r="A47" t="inlineStr">
        <is>
          <t>20</t>
        </is>
      </c>
      <c r="B47" t="inlineStr">
        <is>
          <t>Fisherman</t>
        </is>
      </c>
      <c r="C47" t="inlineStr">
        <is>
          <t>TRAINERCLASS_FISHERMAN</t>
        </is>
      </c>
      <c r="D47" t="inlineStr">
        <is>
          <t>John</t>
        </is>
      </c>
      <c r="E47" t="inlineStr">
        <is>
          <t>Heritage Park, evento pescatore</t>
        </is>
      </c>
      <c r="F47" t="inlineStr">
        <is>
          <t>Double Battle</t>
        </is>
      </c>
      <c r="G47" t="inlineStr">
        <is>
          <t/>
        </is>
      </c>
      <c r="H47" t="inlineStr">
        <is>
          <t>3</t>
        </is>
      </c>
      <c r="I47" t="inlineStr">
        <is>
          <t/>
        </is>
      </c>
      <c r="J47" t="inlineStr">
        <is>
          <t>Pelipper</t>
        </is>
      </c>
      <c r="K47" t="inlineStr">
        <is>
          <t>SPECIES_PELIPPER</t>
        </is>
      </c>
      <c r="L47" t="inlineStr">
        <is>
          <t>45</t>
        </is>
      </c>
      <c r="M47" t="inlineStr">
        <is>
          <t/>
        </is>
      </c>
      <c r="N47" t="inlineStr">
        <is>
          <t>0</t>
        </is>
      </c>
      <c r="O47" t="inlineStr">
        <is>
          <t>0</t>
        </is>
      </c>
      <c r="P47" t="inlineStr">
        <is>
          <t>Spit Up</t>
        </is>
      </c>
      <c r="Q47" t="inlineStr">
        <is>
          <t>Swallow</t>
        </is>
      </c>
      <c r="R47" t="inlineStr">
        <is>
          <t>Fling</t>
        </is>
      </c>
      <c r="S47" t="inlineStr">
        <is>
          <t>Mist</t>
        </is>
      </c>
      <c r="T47" t="inlineStr">
        <is>
          <t>learnset &lt;= L45</t>
        </is>
      </c>
      <c r="U47" t="inlineStr">
        <is>
          <t>https://img.pokemondb.net/sprites/home/normal/pelipper.png</t>
        </is>
      </c>
      <c r="V47">
        <f>IMAGE("https://img.pokemondb.net/sprites/home/normal/pelipper.png")</f>
      </c>
    </row>
    <row r="48">
      <c r="A48" t="inlineStr">
        <is>
          <t>20</t>
        </is>
      </c>
      <c r="B48" t="inlineStr">
        <is>
          <t>Fisherman</t>
        </is>
      </c>
      <c r="C48" t="inlineStr">
        <is>
          <t>TRAINERCLASS_FISHERMAN</t>
        </is>
      </c>
      <c r="D48" t="inlineStr">
        <is>
          <t>John</t>
        </is>
      </c>
      <c r="E48" t="inlineStr">
        <is>
          <t>Heritage Park, evento pescatore</t>
        </is>
      </c>
      <c r="F48" t="inlineStr">
        <is>
          <t>Double Battle</t>
        </is>
      </c>
      <c r="G48" t="inlineStr">
        <is>
          <t/>
        </is>
      </c>
      <c r="H48" t="inlineStr">
        <is>
          <t>4</t>
        </is>
      </c>
      <c r="I48" t="inlineStr">
        <is>
          <t/>
        </is>
      </c>
      <c r="J48" t="inlineStr">
        <is>
          <t>Slowbro</t>
        </is>
      </c>
      <c r="K48" t="inlineStr">
        <is>
          <t>SPECIES_SLOWBRO</t>
        </is>
      </c>
      <c r="L48" t="inlineStr">
        <is>
          <t>45</t>
        </is>
      </c>
      <c r="M48" t="inlineStr">
        <is>
          <t/>
        </is>
      </c>
      <c r="N48" t="inlineStr">
        <is>
          <t>0</t>
        </is>
      </c>
      <c r="O48" t="inlineStr">
        <is>
          <t>0</t>
        </is>
      </c>
      <c r="P48" t="inlineStr">
        <is>
          <t>Surf</t>
        </is>
      </c>
      <c r="Q48" t="inlineStr">
        <is>
          <t>Slack Off</t>
        </is>
      </c>
      <c r="R48" t="inlineStr">
        <is>
          <t>Psychic</t>
        </is>
      </c>
      <c r="S48" t="inlineStr">
        <is>
          <t>Psych Up</t>
        </is>
      </c>
      <c r="T48" t="inlineStr">
        <is>
          <t>learnset &lt;= L45</t>
        </is>
      </c>
      <c r="U48" t="inlineStr">
        <is>
          <t>https://img.pokemondb.net/sprites/home/normal/slowbro.png</t>
        </is>
      </c>
      <c r="V48">
        <f>IMAGE("https://img.pokemondb.net/sprites/home/normal/slowbro.png")</f>
      </c>
    </row>
    <row r="49">
      <c r="A49" t="inlineStr">
        <is>
          <t>20</t>
        </is>
      </c>
      <c r="B49" t="inlineStr">
        <is>
          <t>Fisherman</t>
        </is>
      </c>
      <c r="C49" t="inlineStr">
        <is>
          <t>TRAINERCLASS_FISHERMAN</t>
        </is>
      </c>
      <c r="D49" t="inlineStr">
        <is>
          <t>John</t>
        </is>
      </c>
      <c r="E49" t="inlineStr">
        <is>
          <t>Heritage Park, evento pescatore</t>
        </is>
      </c>
      <c r="F49" t="inlineStr">
        <is>
          <t>Double Battle</t>
        </is>
      </c>
      <c r="G49" t="inlineStr">
        <is>
          <t/>
        </is>
      </c>
      <c r="H49" t="inlineStr">
        <is>
          <t>5</t>
        </is>
      </c>
      <c r="I49" t="inlineStr">
        <is>
          <t/>
        </is>
      </c>
      <c r="J49" t="inlineStr">
        <is>
          <t>Lapras</t>
        </is>
      </c>
      <c r="K49" t="inlineStr">
        <is>
          <t>SPECIES_LAPRAS</t>
        </is>
      </c>
      <c r="L49" t="inlineStr">
        <is>
          <t>46</t>
        </is>
      </c>
      <c r="M49" t="inlineStr">
        <is>
          <t/>
        </is>
      </c>
      <c r="N49" t="inlineStr">
        <is>
          <t>0</t>
        </is>
      </c>
      <c r="O49" t="inlineStr">
        <is>
          <t>0</t>
        </is>
      </c>
      <c r="P49" t="inlineStr">
        <is>
          <t>Water Pulse</t>
        </is>
      </c>
      <c r="Q49" t="inlineStr">
        <is>
          <t>Brine</t>
        </is>
      </c>
      <c r="R49" t="inlineStr">
        <is>
          <t>Body Slam</t>
        </is>
      </c>
      <c r="S49" t="inlineStr">
        <is>
          <t>Ice Beam</t>
        </is>
      </c>
      <c r="T49" t="inlineStr">
        <is>
          <t>learnset &lt;= L46</t>
        </is>
      </c>
      <c r="U49" t="inlineStr">
        <is>
          <t>https://img.pokemondb.net/sprites/home/normal/lapras.png</t>
        </is>
      </c>
      <c r="V49">
        <f>IMAGE("https://img.pokemondb.net/sprites/home/normal/lapras.png")</f>
      </c>
    </row>
    <row r="50">
      <c r="A50" t="inlineStr">
        <is>
          <t>21</t>
        </is>
      </c>
      <c r="B50" t="inlineStr">
        <is>
          <t>Fisherman</t>
        </is>
      </c>
      <c r="C50" t="inlineStr">
        <is>
          <t>TRAINERCLASS_FISHERMAN</t>
        </is>
      </c>
      <c r="D50" t="inlineStr">
        <is>
          <t>John</t>
        </is>
      </c>
      <c r="E50" t="inlineStr">
        <is>
          <t>Heritage Park, evento pescatore</t>
        </is>
      </c>
      <c r="F50" t="inlineStr">
        <is>
          <t>Double Battle</t>
        </is>
      </c>
      <c r="G50" t="inlineStr">
        <is>
          <t/>
        </is>
      </c>
      <c r="H50" t="inlineStr">
        <is>
          <t>1</t>
        </is>
      </c>
      <c r="I50" t="inlineStr">
        <is>
          <t>yes</t>
        </is>
      </c>
      <c r="J50" t="inlineStr">
        <is>
          <t>Kingler</t>
        </is>
      </c>
      <c r="K50" t="inlineStr">
        <is>
          <t>SPECIES_KINGLER</t>
        </is>
      </c>
      <c r="L50" t="inlineStr">
        <is>
          <t>35</t>
        </is>
      </c>
      <c r="M50" t="inlineStr">
        <is>
          <t/>
        </is>
      </c>
      <c r="N50" t="inlineStr">
        <is>
          <t>0</t>
        </is>
      </c>
      <c r="O50" t="inlineStr">
        <is>
          <t>0</t>
        </is>
      </c>
      <c r="P50" t="inlineStr">
        <is>
          <t>Protect</t>
        </is>
      </c>
      <c r="Q50" t="inlineStr">
        <is>
          <t>Bubble Beam</t>
        </is>
      </c>
      <c r="R50" t="inlineStr">
        <is>
          <t>Stomp</t>
        </is>
      </c>
      <c r="S50" t="inlineStr">
        <is>
          <t>Flail</t>
        </is>
      </c>
      <c r="T50" t="inlineStr">
        <is>
          <t>learnset &lt;= L35</t>
        </is>
      </c>
      <c r="U50" t="inlineStr">
        <is>
          <t>https://img.pokemondb.net/sprites/home/normal/kingler.png</t>
        </is>
      </c>
      <c r="V50">
        <f>IMAGE("https://img.pokemondb.net/sprites/home/normal/kingler.png")</f>
      </c>
    </row>
    <row r="51">
      <c r="A51" t="inlineStr">
        <is>
          <t>21</t>
        </is>
      </c>
      <c r="B51" t="inlineStr">
        <is>
          <t>Fisherman</t>
        </is>
      </c>
      <c r="C51" t="inlineStr">
        <is>
          <t>TRAINERCLASS_FISHERMAN</t>
        </is>
      </c>
      <c r="D51" t="inlineStr">
        <is>
          <t>John</t>
        </is>
      </c>
      <c r="E51" t="inlineStr">
        <is>
          <t>Heritage Park, evento pescatore</t>
        </is>
      </c>
      <c r="F51" t="inlineStr">
        <is>
          <t>Double Battle</t>
        </is>
      </c>
      <c r="G51" t="inlineStr">
        <is>
          <t/>
        </is>
      </c>
      <c r="H51" t="inlineStr">
        <is>
          <t>2</t>
        </is>
      </c>
      <c r="I51" t="inlineStr">
        <is>
          <t/>
        </is>
      </c>
      <c r="J51" t="inlineStr">
        <is>
          <t>Whiscash</t>
        </is>
      </c>
      <c r="K51" t="inlineStr">
        <is>
          <t>SPECIES_WHISCASH</t>
        </is>
      </c>
      <c r="L51" t="inlineStr">
        <is>
          <t>32</t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Belch</t>
        </is>
      </c>
      <c r="Q51" t="inlineStr">
        <is>
          <t>Water Pulse</t>
        </is>
      </c>
      <c r="R51" t="inlineStr">
        <is>
          <t>Amnesia</t>
        </is>
      </c>
      <c r="S51" t="inlineStr">
        <is>
          <t>Aqua Tail</t>
        </is>
      </c>
      <c r="T51" t="inlineStr">
        <is>
          <t>learnset &lt;= L32</t>
        </is>
      </c>
      <c r="U51" t="inlineStr">
        <is>
          <t>https://img.pokemondb.net/sprites/home/normal/whiscash.png</t>
        </is>
      </c>
      <c r="V51">
        <f>IMAGE("https://img.pokemondb.net/sprites/home/normal/whiscash.png")</f>
      </c>
    </row>
    <row r="52">
      <c r="A52" t="inlineStr">
        <is>
          <t>21</t>
        </is>
      </c>
      <c r="B52" t="inlineStr">
        <is>
          <t>Fisherman</t>
        </is>
      </c>
      <c r="C52" t="inlineStr">
        <is>
          <t>TRAINERCLASS_FISHERMAN</t>
        </is>
      </c>
      <c r="D52" t="inlineStr">
        <is>
          <t>John</t>
        </is>
      </c>
      <c r="E52" t="inlineStr">
        <is>
          <t>Heritage Park, evento pescatore</t>
        </is>
      </c>
      <c r="F52" t="inlineStr">
        <is>
          <t>Double Battle</t>
        </is>
      </c>
      <c r="G52" t="inlineStr">
        <is>
          <t/>
        </is>
      </c>
      <c r="H52" t="inlineStr">
        <is>
          <t>3</t>
        </is>
      </c>
      <c r="I52" t="inlineStr">
        <is>
          <t/>
        </is>
      </c>
      <c r="J52" t="inlineStr">
        <is>
          <t>Pelipper</t>
        </is>
      </c>
      <c r="K52" t="inlineStr">
        <is>
          <t>SPECIES_PELIPPER</t>
        </is>
      </c>
      <c r="L52" t="inlineStr">
        <is>
          <t>34</t>
        </is>
      </c>
      <c r="M52" t="inlineStr">
        <is>
          <t/>
        </is>
      </c>
      <c r="N52" t="inlineStr">
        <is>
          <t>0</t>
        </is>
      </c>
      <c r="O52" t="inlineStr">
        <is>
          <t>0</t>
        </is>
      </c>
      <c r="P52" t="inlineStr">
        <is>
          <t>Stockpile</t>
        </is>
      </c>
      <c r="Q52" t="inlineStr">
        <is>
          <t>Spit Up</t>
        </is>
      </c>
      <c r="R52" t="inlineStr">
        <is>
          <t>Swallow</t>
        </is>
      </c>
      <c r="S52" t="inlineStr">
        <is>
          <t>Fling</t>
        </is>
      </c>
      <c r="T52" t="inlineStr">
        <is>
          <t>learnset &lt;= L34</t>
        </is>
      </c>
      <c r="U52" t="inlineStr">
        <is>
          <t>https://img.pokemondb.net/sprites/home/normal/pelipper.png</t>
        </is>
      </c>
      <c r="V52">
        <f>IMAGE("https://img.pokemondb.net/sprites/home/normal/pelipper.png")</f>
      </c>
    </row>
    <row r="53">
      <c r="A53" t="inlineStr">
        <is>
          <t>21</t>
        </is>
      </c>
      <c r="B53" t="inlineStr">
        <is>
          <t>Fisherman</t>
        </is>
      </c>
      <c r="C53" t="inlineStr">
        <is>
          <t>TRAINERCLASS_FISHERMAN</t>
        </is>
      </c>
      <c r="D53" t="inlineStr">
        <is>
          <t>John</t>
        </is>
      </c>
      <c r="E53" t="inlineStr">
        <is>
          <t>Heritage Park, evento pescatore</t>
        </is>
      </c>
      <c r="F53" t="inlineStr">
        <is>
          <t>Double Battle</t>
        </is>
      </c>
      <c r="G53" t="inlineStr">
        <is>
          <t/>
        </is>
      </c>
      <c r="H53" t="inlineStr">
        <is>
          <t>4</t>
        </is>
      </c>
      <c r="I53" t="inlineStr">
        <is>
          <t/>
        </is>
      </c>
      <c r="J53" t="inlineStr">
        <is>
          <t>Slowbro</t>
        </is>
      </c>
      <c r="K53" t="inlineStr">
        <is>
          <t>SPECIES_SLOWBRO</t>
        </is>
      </c>
      <c r="L53" t="inlineStr">
        <is>
          <t>32</t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Headbutt</t>
        </is>
      </c>
      <c r="Q53" t="inlineStr">
        <is>
          <t>Zen Headbutt</t>
        </is>
      </c>
      <c r="R53" t="inlineStr">
        <is>
          <t>Amnesia</t>
        </is>
      </c>
      <c r="S53" t="inlineStr">
        <is>
          <t>Surf</t>
        </is>
      </c>
      <c r="T53" t="inlineStr">
        <is>
          <t>learnset &lt;= L32</t>
        </is>
      </c>
      <c r="U53" t="inlineStr">
        <is>
          <t>https://img.pokemondb.net/sprites/home/normal/slowbro.png</t>
        </is>
      </c>
      <c r="V53">
        <f>IMAGE("https://img.pokemondb.net/sprites/home/normal/slowbro.png")</f>
      </c>
    </row>
    <row r="54">
      <c r="A54" t="inlineStr">
        <is>
          <t>22</t>
        </is>
      </c>
      <c r="B54" t="inlineStr">
        <is>
          <t>Fisherman</t>
        </is>
      </c>
      <c r="C54" t="inlineStr">
        <is>
          <t>TRAINERCLASS_FISHERMAN</t>
        </is>
      </c>
      <c r="D54" t="inlineStr">
        <is>
          <t>John</t>
        </is>
      </c>
      <c r="E54" t="inlineStr">
        <is>
          <t>Heritage Park, evento pescatore</t>
        </is>
      </c>
      <c r="F54" t="inlineStr">
        <is>
          <t>Double Battle</t>
        </is>
      </c>
      <c r="G54" t="inlineStr">
        <is>
          <t/>
        </is>
      </c>
      <c r="H54" t="inlineStr">
        <is>
          <t>1</t>
        </is>
      </c>
      <c r="I54" t="inlineStr">
        <is>
          <t/>
        </is>
      </c>
      <c r="J54" t="inlineStr">
        <is>
          <t>Krabby</t>
        </is>
      </c>
      <c r="K54" t="inlineStr">
        <is>
          <t>SPECIES_KRABBY</t>
        </is>
      </c>
      <c r="L54" t="inlineStr">
        <is>
          <t>20</t>
        </is>
      </c>
      <c r="M54" t="inlineStr">
        <is>
          <t/>
        </is>
      </c>
      <c r="N54" t="inlineStr">
        <is>
          <t>0</t>
        </is>
      </c>
      <c r="O54" t="inlineStr">
        <is>
          <t>0</t>
        </is>
      </c>
      <c r="P54" t="inlineStr">
        <is>
          <t>Metal Claw</t>
        </is>
      </c>
      <c r="Q54" t="inlineStr">
        <is>
          <t>Mud Shot</t>
        </is>
      </c>
      <c r="R54" t="inlineStr">
        <is>
          <t>Protect</t>
        </is>
      </c>
      <c r="S54" t="inlineStr">
        <is>
          <t>Bubble Beam</t>
        </is>
      </c>
      <c r="T54" t="inlineStr">
        <is>
          <t>learnset &lt;= L20</t>
        </is>
      </c>
      <c r="U54" t="inlineStr">
        <is>
          <t>https://img.pokemondb.net/sprites/home/normal/krabby.png</t>
        </is>
      </c>
      <c r="V54">
        <f>IMAGE("https://img.pokemondb.net/sprites/home/normal/krabby.png")</f>
      </c>
    </row>
    <row r="55">
      <c r="A55" t="inlineStr">
        <is>
          <t>22</t>
        </is>
      </c>
      <c r="B55" t="inlineStr">
        <is>
          <t>Fisherman</t>
        </is>
      </c>
      <c r="C55" t="inlineStr">
        <is>
          <t>TRAINERCLASS_FISHERMAN</t>
        </is>
      </c>
      <c r="D55" t="inlineStr">
        <is>
          <t>John</t>
        </is>
      </c>
      <c r="E55" t="inlineStr">
        <is>
          <t>Heritage Park, evento pescatore</t>
        </is>
      </c>
      <c r="F55" t="inlineStr">
        <is>
          <t>Double Battle</t>
        </is>
      </c>
      <c r="G55" t="inlineStr">
        <is>
          <t/>
        </is>
      </c>
      <c r="H55" t="inlineStr">
        <is>
          <t>2</t>
        </is>
      </c>
      <c r="I55" t="inlineStr">
        <is>
          <t>yes</t>
        </is>
      </c>
      <c r="J55" t="inlineStr">
        <is>
          <t>Barboach</t>
        </is>
      </c>
      <c r="K55" t="inlineStr">
        <is>
          <t>SPECIES_BARBOACH</t>
        </is>
      </c>
      <c r="L55" t="inlineStr">
        <is>
          <t>22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Rest</t>
        </is>
      </c>
      <c r="Q55" t="inlineStr">
        <is>
          <t>Snore</t>
        </is>
      </c>
      <c r="R55" t="inlineStr">
        <is>
          <t>Water Pulse</t>
        </is>
      </c>
      <c r="S55" t="inlineStr">
        <is>
          <t>Amnesia</t>
        </is>
      </c>
      <c r="T55" t="inlineStr">
        <is>
          <t>learnset &lt;= L22</t>
        </is>
      </c>
      <c r="U55" t="inlineStr">
        <is>
          <t>https://img.pokemondb.net/sprites/home/normal/barboach.png</t>
        </is>
      </c>
      <c r="V55">
        <f>IMAGE("https://img.pokemondb.net/sprites/home/normal/barboach.png")</f>
      </c>
    </row>
    <row r="56">
      <c r="A56" t="inlineStr">
        <is>
          <t>22</t>
        </is>
      </c>
      <c r="B56" t="inlineStr">
        <is>
          <t>Fisherman</t>
        </is>
      </c>
      <c r="C56" t="inlineStr">
        <is>
          <t>TRAINERCLASS_FISHERMAN</t>
        </is>
      </c>
      <c r="D56" t="inlineStr">
        <is>
          <t>John</t>
        </is>
      </c>
      <c r="E56" t="inlineStr">
        <is>
          <t>Heritage Park, evento pescatore</t>
        </is>
      </c>
      <c r="F56" t="inlineStr">
        <is>
          <t>Double Battle</t>
        </is>
      </c>
      <c r="G56" t="inlineStr">
        <is>
          <t/>
        </is>
      </c>
      <c r="H56" t="inlineStr">
        <is>
          <t>3</t>
        </is>
      </c>
      <c r="I56" t="inlineStr">
        <is>
          <t/>
        </is>
      </c>
      <c r="J56" t="inlineStr">
        <is>
          <t>Pelipper</t>
        </is>
      </c>
      <c r="K56" t="inlineStr">
        <is>
          <t>SPECIES_PELIPPER</t>
        </is>
      </c>
      <c r="L56" t="inlineStr">
        <is>
          <t>20</t>
        </is>
      </c>
      <c r="M56" t="inlineStr">
        <is>
          <t/>
        </is>
      </c>
      <c r="N56" t="inlineStr">
        <is>
          <t>0</t>
        </is>
      </c>
      <c r="O56" t="inlineStr">
        <is>
          <t>0</t>
        </is>
      </c>
      <c r="P56" t="inlineStr">
        <is>
          <t>Protect</t>
        </is>
      </c>
      <c r="Q56" t="inlineStr">
        <is>
          <t>Soak</t>
        </is>
      </c>
      <c r="R56" t="inlineStr">
        <is>
          <t>Wing Attack</t>
        </is>
      </c>
      <c r="S56" t="inlineStr">
        <is>
          <t>Water Pulse</t>
        </is>
      </c>
      <c r="T56" t="inlineStr">
        <is>
          <t>learnset &lt;= L20</t>
        </is>
      </c>
      <c r="U56" t="inlineStr">
        <is>
          <t>https://img.pokemondb.net/sprites/home/normal/pelipper.png</t>
        </is>
      </c>
      <c r="V56">
        <f>IMAGE("https://img.pokemondb.net/sprites/home/normal/pelipper.png")</f>
      </c>
    </row>
    <row r="57">
      <c r="A57" t="inlineStr">
        <is>
          <t>23</t>
        </is>
      </c>
      <c r="B57" t="inlineStr">
        <is>
          <t>Fisherman</t>
        </is>
      </c>
      <c r="C57" t="inlineStr">
        <is>
          <t>TRAINERCLASS_FISHERMAN</t>
        </is>
      </c>
      <c r="D57" t="inlineStr">
        <is>
          <t>John</t>
        </is>
      </c>
      <c r="E57" t="inlineStr">
        <is>
          <t>Heritage Park, evento pescatore</t>
        </is>
      </c>
      <c r="F57" t="inlineStr">
        <is>
          <t>Double Battle</t>
        </is>
      </c>
      <c r="G57" t="inlineStr">
        <is>
          <t/>
        </is>
      </c>
      <c r="H57" t="inlineStr">
        <is>
          <t>1</t>
        </is>
      </c>
      <c r="I57" t="inlineStr">
        <is>
          <t>yes</t>
        </is>
      </c>
      <c r="J57" t="inlineStr">
        <is>
          <t>Krabby</t>
        </is>
      </c>
      <c r="K57" t="inlineStr">
        <is>
          <t>SPECIES_KRABBY</t>
        </is>
      </c>
      <c r="L57" t="inlineStr">
        <is>
          <t>8</t>
        </is>
      </c>
      <c r="M57" t="inlineStr">
        <is>
          <t/>
        </is>
      </c>
      <c r="N57" t="inlineStr">
        <is>
          <t>0</t>
        </is>
      </c>
      <c r="O57" t="inlineStr">
        <is>
          <t>0</t>
        </is>
      </c>
      <c r="P57" t="inlineStr">
        <is>
          <t>Leer</t>
        </is>
      </c>
      <c r="Q57" t="inlineStr">
        <is>
          <t>Water Gun</t>
        </is>
      </c>
      <c r="R57" t="inlineStr">
        <is>
          <t>Harden</t>
        </is>
      </c>
      <c r="S57" t="inlineStr">
        <is>
          <t>Metal Claw</t>
        </is>
      </c>
      <c r="T57" t="inlineStr">
        <is>
          <t>learnset &lt;= L8</t>
        </is>
      </c>
      <c r="U57" t="inlineStr">
        <is>
          <t>https://img.pokemondb.net/sprites/home/normal/krabby.png</t>
        </is>
      </c>
      <c r="V57">
        <f>IMAGE("https://img.pokemondb.net/sprites/home/normal/krabby.png")</f>
      </c>
    </row>
    <row r="58">
      <c r="A58" t="inlineStr">
        <is>
          <t>23</t>
        </is>
      </c>
      <c r="B58" t="inlineStr">
        <is>
          <t>Fisherman</t>
        </is>
      </c>
      <c r="C58" t="inlineStr">
        <is>
          <t>TRAINERCLASS_FISHERMAN</t>
        </is>
      </c>
      <c r="D58" t="inlineStr">
        <is>
          <t>John</t>
        </is>
      </c>
      <c r="E58" t="inlineStr">
        <is>
          <t>Heritage Park, evento pescatore</t>
        </is>
      </c>
      <c r="F58" t="inlineStr">
        <is>
          <t>Double Battle</t>
        </is>
      </c>
      <c r="G58" t="inlineStr">
        <is>
          <t/>
        </is>
      </c>
      <c r="H58" t="inlineStr">
        <is>
          <t>2</t>
        </is>
      </c>
      <c r="I58" t="inlineStr">
        <is>
          <t>yes</t>
        </is>
      </c>
      <c r="J58" t="inlineStr">
        <is>
          <t>Barboach</t>
        </is>
      </c>
      <c r="K58" t="inlineStr">
        <is>
          <t>SPECIES_BARBOACH</t>
        </is>
      </c>
      <c r="L58" t="inlineStr">
        <is>
          <t>8</t>
        </is>
      </c>
      <c r="M58" t="inlineStr">
        <is>
          <t/>
        </is>
      </c>
      <c r="N58" t="inlineStr">
        <is>
          <t>0</t>
        </is>
      </c>
      <c r="O58" t="inlineStr">
        <is>
          <t>0</t>
        </is>
      </c>
      <c r="P58" t="inlineStr">
        <is>
          <t>Water Gun</t>
        </is>
      </c>
      <c r="Q58" t="inlineStr">
        <is>
          <t>Mud Slap</t>
        </is>
      </c>
      <c r="R58" t="inlineStr">
        <is>
          <t>Rest</t>
        </is>
      </c>
      <c r="S58" t="inlineStr">
        <is>
          <t>Snore</t>
        </is>
      </c>
      <c r="T58" t="inlineStr">
        <is>
          <t>learnset &lt;= L8</t>
        </is>
      </c>
      <c r="U58" t="inlineStr">
        <is>
          <t>https://img.pokemondb.net/sprites/home/normal/barboach.png</t>
        </is>
      </c>
      <c r="V58">
        <f>IMAGE("https://img.pokemondb.net/sprites/home/normal/barboach.png")</f>
      </c>
    </row>
    <row r="59">
      <c r="A59" t="inlineStr">
        <is>
          <t>24</t>
        </is>
      </c>
      <c r="B59" t="inlineStr">
        <is>
          <t>Ace Trainer</t>
        </is>
      </c>
      <c r="C59" t="inlineStr">
        <is>
          <t>TRAINERCLASS_ACE_TRAINER_M</t>
        </is>
      </c>
      <c r="D59" t="inlineStr">
        <is>
          <t>Gavin</t>
        </is>
      </c>
      <c r="E59" t="inlineStr">
        <is>
          <t>Route 4, verso Newport</t>
        </is>
      </c>
      <c r="F59" t="inlineStr">
        <is>
          <t>Double Battle</t>
        </is>
      </c>
      <c r="G59" t="inlineStr">
        <is>
          <t/>
        </is>
      </c>
      <c r="H59" t="inlineStr">
        <is>
          <t>1</t>
        </is>
      </c>
      <c r="I59" t="inlineStr">
        <is>
          <t/>
        </is>
      </c>
      <c r="J59" t="inlineStr">
        <is>
          <t>Herdier</t>
        </is>
      </c>
      <c r="K59" t="inlineStr">
        <is>
          <t>SPECIES_HERDIER</t>
        </is>
      </c>
      <c r="L59" t="inlineStr">
        <is>
          <t>14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Leer</t>
        </is>
      </c>
      <c r="Q59" t="inlineStr">
        <is>
          <t>Work Up</t>
        </is>
      </c>
      <c r="R59" t="inlineStr">
        <is>
          <t>Bite</t>
        </is>
      </c>
      <c r="S59" t="inlineStr">
        <is>
          <t>Retaliate</t>
        </is>
      </c>
      <c r="T59" t="inlineStr">
        <is>
          <t>learnset &lt;= L14</t>
        </is>
      </c>
      <c r="U59" t="inlineStr">
        <is>
          <t>https://img.pokemondb.net/sprites/home/normal/herdier.png</t>
        </is>
      </c>
      <c r="V59">
        <f>IMAGE("https://img.pokemondb.net/sprites/home/normal/herdier.png")</f>
      </c>
    </row>
    <row r="60">
      <c r="A60" t="inlineStr">
        <is>
          <t>24</t>
        </is>
      </c>
      <c r="B60" t="inlineStr">
        <is>
          <t>Ace Trainer</t>
        </is>
      </c>
      <c r="C60" t="inlineStr">
        <is>
          <t>TRAINERCLASS_ACE_TRAINER_M</t>
        </is>
      </c>
      <c r="D60" t="inlineStr">
        <is>
          <t>Gavin</t>
        </is>
      </c>
      <c r="E60" t="inlineStr">
        <is>
          <t>Route 4, verso Newport</t>
        </is>
      </c>
      <c r="F60" t="inlineStr">
        <is>
          <t>Double Battle</t>
        </is>
      </c>
      <c r="G60" t="inlineStr">
        <is>
          <t/>
        </is>
      </c>
      <c r="H60" t="inlineStr">
        <is>
          <t>2</t>
        </is>
      </c>
      <c r="I60" t="inlineStr">
        <is>
          <t>yes</t>
        </is>
      </c>
      <c r="J60" t="inlineStr">
        <is>
          <t>Vigoroth</t>
        </is>
      </c>
      <c r="K60" t="inlineStr">
        <is>
          <t>SPECIES_VIGOROTH</t>
        </is>
      </c>
      <c r="L60" t="inlineStr">
        <is>
          <t>15</t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Focus Energy</t>
        </is>
      </c>
      <c r="Q60" t="inlineStr">
        <is>
          <t>Encore</t>
        </is>
      </c>
      <c r="R60" t="inlineStr">
        <is>
          <t>Uproar</t>
        </is>
      </c>
      <c r="S60" t="inlineStr">
        <is>
          <t>Fury Swipes</t>
        </is>
      </c>
      <c r="T60" t="inlineStr">
        <is>
          <t>learnset &lt;= L15</t>
        </is>
      </c>
      <c r="U60" t="inlineStr">
        <is>
          <t>https://img.pokemondb.net/sprites/home/normal/vigoroth.png</t>
        </is>
      </c>
      <c r="V60">
        <f>IMAGE("https://img.pokemondb.net/sprites/home/normal/vigoroth.png")</f>
      </c>
    </row>
    <row r="61">
      <c r="A61" t="inlineStr">
        <is>
          <t>25</t>
        </is>
      </c>
      <c r="B61" t="inlineStr">
        <is>
          <t>Poke Kid</t>
        </is>
      </c>
      <c r="C61" t="inlineStr">
        <is>
          <t>TRAINERCLASS_POKE_KID</t>
        </is>
      </c>
      <c r="D61" t="inlineStr">
        <is>
          <t>Poppy</t>
        </is>
      </c>
      <c r="E61" t="inlineStr">
        <is>
          <t>Route 4, verso Newport</t>
        </is>
      </c>
      <c r="F61" t="inlineStr">
        <is>
          <t>Double Battle</t>
        </is>
      </c>
      <c r="G61" t="inlineStr">
        <is>
          <t/>
        </is>
      </c>
      <c r="H61" t="inlineStr">
        <is>
          <t>1</t>
        </is>
      </c>
      <c r="I61" t="inlineStr">
        <is>
          <t/>
        </is>
      </c>
      <c r="J61" t="inlineStr">
        <is>
          <t>Dedenne</t>
        </is>
      </c>
      <c r="K61" t="inlineStr">
        <is>
          <t>SPECIES_DEDENNE</t>
        </is>
      </c>
      <c r="L61" t="inlineStr">
        <is>
          <t>12</t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Tail Whip</t>
        </is>
      </c>
      <c r="Q61" t="inlineStr">
        <is>
          <t>Nuzzle</t>
        </is>
      </c>
      <c r="R61" t="inlineStr">
        <is>
          <t>Tackle</t>
        </is>
      </c>
      <c r="S61" t="inlineStr">
        <is>
          <t>Charge</t>
        </is>
      </c>
      <c r="T61" t="inlineStr">
        <is>
          <t>learnset &lt;= L12</t>
        </is>
      </c>
      <c r="U61" t="inlineStr">
        <is>
          <t>https://img.pokemondb.net/sprites/home/normal/dedenne.png</t>
        </is>
      </c>
      <c r="V61">
        <f>IMAGE("https://img.pokemondb.net/sprites/home/normal/dedenne.png")</f>
      </c>
    </row>
    <row r="62">
      <c r="A62" t="inlineStr">
        <is>
          <t>25</t>
        </is>
      </c>
      <c r="B62" t="inlineStr">
        <is>
          <t>Poke Kid</t>
        </is>
      </c>
      <c r="C62" t="inlineStr">
        <is>
          <t>TRAINERCLASS_POKE_KID</t>
        </is>
      </c>
      <c r="D62" t="inlineStr">
        <is>
          <t>Poppy</t>
        </is>
      </c>
      <c r="E62" t="inlineStr">
        <is>
          <t>Route 4, verso Newport</t>
        </is>
      </c>
      <c r="F62" t="inlineStr">
        <is>
          <t>Double Battle</t>
        </is>
      </c>
      <c r="G62" t="inlineStr">
        <is>
          <t/>
        </is>
      </c>
      <c r="H62" t="inlineStr">
        <is>
          <t>2</t>
        </is>
      </c>
      <c r="I62" t="inlineStr">
        <is>
          <t/>
        </is>
      </c>
      <c r="J62" t="inlineStr">
        <is>
          <t>Dedenne</t>
        </is>
      </c>
      <c r="K62" t="inlineStr">
        <is>
          <t>SPECIES_DEDENNE</t>
        </is>
      </c>
      <c r="L62" t="inlineStr">
        <is>
          <t>12</t>
        </is>
      </c>
      <c r="M62" t="inlineStr">
        <is>
          <t/>
        </is>
      </c>
      <c r="N62" t="inlineStr">
        <is>
          <t>0</t>
        </is>
      </c>
      <c r="O62" t="inlineStr">
        <is>
          <t>0</t>
        </is>
      </c>
      <c r="P62" t="inlineStr">
        <is>
          <t>Tail Whip</t>
        </is>
      </c>
      <c r="Q62" t="inlineStr">
        <is>
          <t>Nuzzle</t>
        </is>
      </c>
      <c r="R62" t="inlineStr">
        <is>
          <t>Tackle</t>
        </is>
      </c>
      <c r="S62" t="inlineStr">
        <is>
          <t>Charge</t>
        </is>
      </c>
      <c r="T62" t="inlineStr">
        <is>
          <t>learnset &lt;= L12</t>
        </is>
      </c>
      <c r="U62" t="inlineStr">
        <is>
          <t>https://img.pokemondb.net/sprites/home/normal/dedenne.png</t>
        </is>
      </c>
      <c r="V62">
        <f>IMAGE("https://img.pokemondb.net/sprites/home/normal/dedenne.png")</f>
      </c>
    </row>
    <row r="63">
      <c r="A63" t="inlineStr">
        <is>
          <t>25</t>
        </is>
      </c>
      <c r="B63" t="inlineStr">
        <is>
          <t>Poke Kid</t>
        </is>
      </c>
      <c r="C63" t="inlineStr">
        <is>
          <t>TRAINERCLASS_POKE_KID</t>
        </is>
      </c>
      <c r="D63" t="inlineStr">
        <is>
          <t>Poppy</t>
        </is>
      </c>
      <c r="E63" t="inlineStr">
        <is>
          <t>Route 4, verso Newport</t>
        </is>
      </c>
      <c r="F63" t="inlineStr">
        <is>
          <t>Double Battle</t>
        </is>
      </c>
      <c r="G63" t="inlineStr">
        <is>
          <t/>
        </is>
      </c>
      <c r="H63" t="inlineStr">
        <is>
          <t>3</t>
        </is>
      </c>
      <c r="I63" t="inlineStr">
        <is>
          <t/>
        </is>
      </c>
      <c r="J63" t="inlineStr">
        <is>
          <t>Dedenne</t>
        </is>
      </c>
      <c r="K63" t="inlineStr">
        <is>
          <t>SPECIES_DEDENNE</t>
        </is>
      </c>
      <c r="L63" t="inlineStr">
        <is>
          <t>12</t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Tail Whip</t>
        </is>
      </c>
      <c r="Q63" t="inlineStr">
        <is>
          <t>Nuzzle</t>
        </is>
      </c>
      <c r="R63" t="inlineStr">
        <is>
          <t>Tackle</t>
        </is>
      </c>
      <c r="S63" t="inlineStr">
        <is>
          <t>Charge</t>
        </is>
      </c>
      <c r="T63" t="inlineStr">
        <is>
          <t>learnset &lt;= L12</t>
        </is>
      </c>
      <c r="U63" t="inlineStr">
        <is>
          <t>https://img.pokemondb.net/sprites/home/normal/dedenne.png</t>
        </is>
      </c>
      <c r="V63">
        <f>IMAGE("https://img.pokemondb.net/sprites/home/normal/dedenne.png")</f>
      </c>
    </row>
    <row r="64">
      <c r="A64" t="inlineStr">
        <is>
          <t>25</t>
        </is>
      </c>
      <c r="B64" t="inlineStr">
        <is>
          <t>Poke Kid</t>
        </is>
      </c>
      <c r="C64" t="inlineStr">
        <is>
          <t>TRAINERCLASS_POKE_KID</t>
        </is>
      </c>
      <c r="D64" t="inlineStr">
        <is>
          <t>Poppy</t>
        </is>
      </c>
      <c r="E64" t="inlineStr">
        <is>
          <t>Route 4, verso Newport</t>
        </is>
      </c>
      <c r="F64" t="inlineStr">
        <is>
          <t>Double Battle</t>
        </is>
      </c>
      <c r="G64" t="inlineStr">
        <is>
          <t/>
        </is>
      </c>
      <c r="H64" t="inlineStr">
        <is>
          <t>4</t>
        </is>
      </c>
      <c r="I64" t="inlineStr">
        <is>
          <t/>
        </is>
      </c>
      <c r="J64" t="inlineStr">
        <is>
          <t>Dedenne</t>
        </is>
      </c>
      <c r="K64" t="inlineStr">
        <is>
          <t>SPECIES_DEDENNE</t>
        </is>
      </c>
      <c r="L64" t="inlineStr">
        <is>
          <t>12</t>
        </is>
      </c>
      <c r="M64" t="inlineStr">
        <is>
          <t/>
        </is>
      </c>
      <c r="N64" t="inlineStr">
        <is>
          <t>0</t>
        </is>
      </c>
      <c r="O64" t="inlineStr">
        <is>
          <t>0</t>
        </is>
      </c>
      <c r="P64" t="inlineStr">
        <is>
          <t>Tail Whip</t>
        </is>
      </c>
      <c r="Q64" t="inlineStr">
        <is>
          <t>Nuzzle</t>
        </is>
      </c>
      <c r="R64" t="inlineStr">
        <is>
          <t>Tackle</t>
        </is>
      </c>
      <c r="S64" t="inlineStr">
        <is>
          <t>Charge</t>
        </is>
      </c>
      <c r="T64" t="inlineStr">
        <is>
          <t>learnset &lt;= L12</t>
        </is>
      </c>
      <c r="U64" t="inlineStr">
        <is>
          <t>https://img.pokemondb.net/sprites/home/normal/dedenne.png</t>
        </is>
      </c>
      <c r="V64">
        <f>IMAGE("https://img.pokemondb.net/sprites/home/normal/dedenne.png")</f>
      </c>
    </row>
    <row r="65">
      <c r="A65" t="inlineStr">
        <is>
          <t>25</t>
        </is>
      </c>
      <c r="B65" t="inlineStr">
        <is>
          <t>Poke Kid</t>
        </is>
      </c>
      <c r="C65" t="inlineStr">
        <is>
          <t>TRAINERCLASS_POKE_KID</t>
        </is>
      </c>
      <c r="D65" t="inlineStr">
        <is>
          <t>Poppy</t>
        </is>
      </c>
      <c r="E65" t="inlineStr">
        <is>
          <t>Route 4, verso Newport</t>
        </is>
      </c>
      <c r="F65" t="inlineStr">
        <is>
          <t>Double Battle</t>
        </is>
      </c>
      <c r="G65" t="inlineStr">
        <is>
          <t/>
        </is>
      </c>
      <c r="H65" t="inlineStr">
        <is>
          <t>5</t>
        </is>
      </c>
      <c r="I65" t="inlineStr">
        <is>
          <t>yes</t>
        </is>
      </c>
      <c r="J65" t="inlineStr">
        <is>
          <t>Pikachu</t>
        </is>
      </c>
      <c r="K65" t="inlineStr">
        <is>
          <t>SPECIES_PIKACHU</t>
        </is>
      </c>
      <c r="L65" t="inlineStr">
        <is>
          <t>14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Growl</t>
        </is>
      </c>
      <c r="Q65" t="inlineStr">
        <is>
          <t>Thunder Wave</t>
        </is>
      </c>
      <c r="R65" t="inlineStr">
        <is>
          <t>Double Team</t>
        </is>
      </c>
      <c r="S65" t="inlineStr">
        <is>
          <t>Electro Ball</t>
        </is>
      </c>
      <c r="T65" t="inlineStr">
        <is>
          <t>learnset &lt;= L14</t>
        </is>
      </c>
      <c r="U65" t="inlineStr">
        <is>
          <t>https://img.pokemondb.net/sprites/home/normal/pikachu.png</t>
        </is>
      </c>
      <c r="V65">
        <f>IMAGE("https://img.pokemondb.net/sprites/home/normal/pikachu.png")</f>
      </c>
    </row>
    <row r="66">
      <c r="A66" t="inlineStr">
        <is>
          <t>26</t>
        </is>
      </c>
      <c r="B66" t="inlineStr">
        <is>
          <t>Black Belt</t>
        </is>
      </c>
      <c r="C66" t="inlineStr">
        <is>
          <t>TRAINERCLASS_BLACK_BELT</t>
        </is>
      </c>
      <c r="D66" t="inlineStr">
        <is>
          <t>Takeshi</t>
        </is>
      </c>
      <c r="E66" t="inlineStr">
        <is>
          <t>Route 4, verso Newport</t>
        </is>
      </c>
      <c r="F66" t="inlineStr">
        <is>
          <t>Double Battle</t>
        </is>
      </c>
      <c r="G66" t="inlineStr">
        <is>
          <t/>
        </is>
      </c>
      <c r="H66" t="inlineStr">
        <is>
          <t>1</t>
        </is>
      </c>
      <c r="I66" t="inlineStr">
        <is>
          <t>yes</t>
        </is>
      </c>
      <c r="J66" t="inlineStr">
        <is>
          <t>Pancham</t>
        </is>
      </c>
      <c r="K66" t="inlineStr">
        <is>
          <t>SPECIES_PANCHAM</t>
        </is>
      </c>
      <c r="L66" t="inlineStr">
        <is>
          <t>15</t>
        </is>
      </c>
      <c r="M66" t="inlineStr">
        <is>
          <t/>
        </is>
      </c>
      <c r="N66" t="inlineStr">
        <is>
          <t>0</t>
        </is>
      </c>
      <c r="O66" t="inlineStr">
        <is>
          <t>0</t>
        </is>
      </c>
      <c r="P66" t="inlineStr">
        <is>
          <t>Leer</t>
        </is>
      </c>
      <c r="Q66" t="inlineStr">
        <is>
          <t>Arm Thrust</t>
        </is>
      </c>
      <c r="R66" t="inlineStr">
        <is>
          <t>Taunt</t>
        </is>
      </c>
      <c r="S66" t="inlineStr">
        <is>
          <t>Circle Throw</t>
        </is>
      </c>
      <c r="T66" t="inlineStr">
        <is>
          <t>learnset &lt;= L15</t>
        </is>
      </c>
      <c r="U66" t="inlineStr">
        <is>
          <t>https://img.pokemondb.net/sprites/home/normal/pancham.png</t>
        </is>
      </c>
      <c r="V66">
        <f>IMAGE("https://img.pokemondb.net/sprites/home/normal/pancham.png")</f>
      </c>
    </row>
    <row r="67">
      <c r="A67" t="inlineStr">
        <is>
          <t>26</t>
        </is>
      </c>
      <c r="B67" t="inlineStr">
        <is>
          <t>Black Belt</t>
        </is>
      </c>
      <c r="C67" t="inlineStr">
        <is>
          <t>TRAINERCLASS_BLACK_BELT</t>
        </is>
      </c>
      <c r="D67" t="inlineStr">
        <is>
          <t>Takeshi</t>
        </is>
      </c>
      <c r="E67" t="inlineStr">
        <is>
          <t>Route 4, verso Newport</t>
        </is>
      </c>
      <c r="F67" t="inlineStr">
        <is>
          <t>Double Battle</t>
        </is>
      </c>
      <c r="G67" t="inlineStr">
        <is>
          <t/>
        </is>
      </c>
      <c r="H67" t="inlineStr">
        <is>
          <t>2</t>
        </is>
      </c>
      <c r="I67" t="inlineStr">
        <is>
          <t/>
        </is>
      </c>
      <c r="J67" t="inlineStr">
        <is>
          <t>Skiddo</t>
        </is>
      </c>
      <c r="K67" t="inlineStr">
        <is>
          <t>SPECIES_SKIDDO</t>
        </is>
      </c>
      <c r="L67" t="inlineStr">
        <is>
          <t>13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Vine Whip</t>
        </is>
      </c>
      <c r="Q67" t="inlineStr">
        <is>
          <t>Tail Whip</t>
        </is>
      </c>
      <c r="R67" t="inlineStr">
        <is>
          <t>Leech Seed</t>
        </is>
      </c>
      <c r="S67" t="inlineStr">
        <is>
          <t>Razor Leaf</t>
        </is>
      </c>
      <c r="T67" t="inlineStr">
        <is>
          <t>learnset &lt;= L13</t>
        </is>
      </c>
      <c r="U67" t="inlineStr">
        <is>
          <t>https://img.pokemondb.net/sprites/home/normal/skiddo.png</t>
        </is>
      </c>
      <c r="V67">
        <f>IMAGE("https://img.pokemondb.net/sprites/home/normal/skiddo.png")</f>
      </c>
    </row>
    <row r="68">
      <c r="A68" t="inlineStr">
        <is>
          <t>26</t>
        </is>
      </c>
      <c r="B68" t="inlineStr">
        <is>
          <t>Black Belt</t>
        </is>
      </c>
      <c r="C68" t="inlineStr">
        <is>
          <t>TRAINERCLASS_BLACK_BELT</t>
        </is>
      </c>
      <c r="D68" t="inlineStr">
        <is>
          <t>Takeshi</t>
        </is>
      </c>
      <c r="E68" t="inlineStr">
        <is>
          <t>Route 4, verso Newport</t>
        </is>
      </c>
      <c r="F68" t="inlineStr">
        <is>
          <t>Double Battle</t>
        </is>
      </c>
      <c r="G68" t="inlineStr">
        <is>
          <t/>
        </is>
      </c>
      <c r="H68" t="inlineStr">
        <is>
          <t>3</t>
        </is>
      </c>
      <c r="I68" t="inlineStr">
        <is>
          <t/>
        </is>
      </c>
      <c r="J68" t="inlineStr">
        <is>
          <t>Palpitoad</t>
        </is>
      </c>
      <c r="K68" t="inlineStr">
        <is>
          <t>SPECIES_PALPITOAD</t>
        </is>
      </c>
      <c r="L68" t="inlineStr">
        <is>
          <t>13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Growl</t>
        </is>
      </c>
      <c r="Q68" t="inlineStr">
        <is>
          <t>Acid</t>
        </is>
      </c>
      <c r="R68" t="inlineStr">
        <is>
          <t>Supersonic</t>
        </is>
      </c>
      <c r="S68" t="inlineStr">
        <is>
          <t>Mud Shot</t>
        </is>
      </c>
      <c r="T68" t="inlineStr">
        <is>
          <t>learnset &lt;= L13</t>
        </is>
      </c>
      <c r="U68" t="inlineStr">
        <is>
          <t>https://img.pokemondb.net/sprites/home/normal/palpitoad.png</t>
        </is>
      </c>
      <c r="V68">
        <f>IMAGE("https://img.pokemondb.net/sprites/home/normal/palpitoad.png")</f>
      </c>
    </row>
    <row r="69">
      <c r="A69" t="inlineStr">
        <is>
          <t>27</t>
        </is>
      </c>
      <c r="B69" t="inlineStr">
        <is>
          <t>Bird Keeper</t>
        </is>
      </c>
      <c r="C69" t="inlineStr">
        <is>
          <t>TRAINERCLASS_BIRD_KEEPER_GS</t>
        </is>
      </c>
      <c r="D69" t="inlineStr">
        <is>
          <t>Corbin</t>
        </is>
      </c>
      <c r="E69" t="inlineStr">
        <is>
          <t>Route 4, verso Newport</t>
        </is>
      </c>
      <c r="F69" t="inlineStr">
        <is>
          <t>Double Battle</t>
        </is>
      </c>
      <c r="G69" t="inlineStr">
        <is>
          <t/>
        </is>
      </c>
      <c r="H69" t="inlineStr">
        <is>
          <t>1</t>
        </is>
      </c>
      <c r="I69" t="inlineStr">
        <is>
          <t/>
        </is>
      </c>
      <c r="J69" t="inlineStr">
        <is>
          <t>Noctowl</t>
        </is>
      </c>
      <c r="K69" t="inlineStr">
        <is>
          <t>SPECIES_NOCTOWL</t>
        </is>
      </c>
      <c r="L69" t="inlineStr">
        <is>
          <t>14</t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Sky Attack</t>
        </is>
      </c>
      <c r="Q69" t="inlineStr">
        <is>
          <t>Echoed Voice</t>
        </is>
      </c>
      <c r="R69" t="inlineStr">
        <is>
          <t>Confusion</t>
        </is>
      </c>
      <c r="S69" t="inlineStr">
        <is>
          <t>Reflect</t>
        </is>
      </c>
      <c r="T69" t="inlineStr">
        <is>
          <t>learnset &lt;= L14</t>
        </is>
      </c>
      <c r="U69" t="inlineStr">
        <is>
          <t>https://img.pokemondb.net/sprites/home/normal/noctowl.png</t>
        </is>
      </c>
      <c r="V69">
        <f>IMAGE("https://img.pokemondb.net/sprites/home/normal/noctowl.png")</f>
      </c>
    </row>
    <row r="70">
      <c r="A70" t="inlineStr">
        <is>
          <t>27</t>
        </is>
      </c>
      <c r="B70" t="inlineStr">
        <is>
          <t>Bird Keeper</t>
        </is>
      </c>
      <c r="C70" t="inlineStr">
        <is>
          <t>TRAINERCLASS_BIRD_KEEPER_GS</t>
        </is>
      </c>
      <c r="D70" t="inlineStr">
        <is>
          <t>Corbin</t>
        </is>
      </c>
      <c r="E70" t="inlineStr">
        <is>
          <t>Route 4, verso Newport</t>
        </is>
      </c>
      <c r="F70" t="inlineStr">
        <is>
          <t>Double Battle</t>
        </is>
      </c>
      <c r="G70" t="inlineStr">
        <is>
          <t/>
        </is>
      </c>
      <c r="H70" t="inlineStr">
        <is>
          <t>2</t>
        </is>
      </c>
      <c r="I70" t="inlineStr">
        <is>
          <t>yes</t>
        </is>
      </c>
      <c r="J70" t="inlineStr">
        <is>
          <t>Skarmory</t>
        </is>
      </c>
      <c r="K70" t="inlineStr">
        <is>
          <t>SPECIES_SKARMORY</t>
        </is>
      </c>
      <c r="L70" t="inlineStr">
        <is>
          <t>16</t>
        </is>
      </c>
      <c r="M70" t="inlineStr">
        <is>
          <t/>
        </is>
      </c>
      <c r="N70" t="inlineStr">
        <is>
          <t>0</t>
        </is>
      </c>
      <c r="O70" t="inlineStr">
        <is>
          <t>0</t>
        </is>
      </c>
      <c r="P70" t="inlineStr">
        <is>
          <t>Sand Attack</t>
        </is>
      </c>
      <c r="Q70" t="inlineStr">
        <is>
          <t>Fury Attack</t>
        </is>
      </c>
      <c r="R70" t="inlineStr">
        <is>
          <t>Metal Claw</t>
        </is>
      </c>
      <c r="S70" t="inlineStr">
        <is>
          <t>Agility</t>
        </is>
      </c>
      <c r="T70" t="inlineStr">
        <is>
          <t>learnset &lt;= L16</t>
        </is>
      </c>
      <c r="U70" t="inlineStr">
        <is>
          <t>https://img.pokemondb.net/sprites/home/normal/skarmory.png</t>
        </is>
      </c>
      <c r="V70">
        <f>IMAGE("https://img.pokemondb.net/sprites/home/normal/skarmory.png")</f>
      </c>
    </row>
    <row r="71">
      <c r="A71" t="inlineStr">
        <is>
          <t>28</t>
        </is>
      </c>
      <c r="B71" t="inlineStr">
        <is>
          <t>Bug Catcher</t>
        </is>
      </c>
      <c r="C71" t="inlineStr">
        <is>
          <t>TRAINERCLASS_BUG_CATCHER</t>
        </is>
      </c>
      <c r="D71" t="inlineStr">
        <is>
          <t>Milo</t>
        </is>
      </c>
      <c r="E71" t="inlineStr">
        <is>
          <t>Route 4, verso Newport</t>
        </is>
      </c>
      <c r="F71" t="inlineStr">
        <is>
          <t>Double Battle</t>
        </is>
      </c>
      <c r="G71" t="inlineStr">
        <is>
          <t/>
        </is>
      </c>
      <c r="H71" t="inlineStr">
        <is>
          <t>1</t>
        </is>
      </c>
      <c r="I71" t="inlineStr">
        <is>
          <t/>
        </is>
      </c>
      <c r="J71" t="inlineStr">
        <is>
          <t>Dunsparce</t>
        </is>
      </c>
      <c r="K71" t="inlineStr">
        <is>
          <t>SPECIES_DUNSPARCE</t>
        </is>
      </c>
      <c r="L71" t="inlineStr">
        <is>
          <t>13</t>
        </is>
      </c>
      <c r="M71" t="inlineStr">
        <is>
          <t/>
        </is>
      </c>
      <c r="N71" t="inlineStr">
        <is>
          <t>0</t>
        </is>
      </c>
      <c r="O71" t="inlineStr">
        <is>
          <t>0</t>
        </is>
      </c>
      <c r="P71" t="inlineStr">
        <is>
          <t>Flail</t>
        </is>
      </c>
      <c r="Q71" t="inlineStr">
        <is>
          <t>Mud Slap</t>
        </is>
      </c>
      <c r="R71" t="inlineStr">
        <is>
          <t>Rollout</t>
        </is>
      </c>
      <c r="S71" t="inlineStr">
        <is>
          <t>Glare</t>
        </is>
      </c>
      <c r="T71" t="inlineStr">
        <is>
          <t>learnset &lt;= L13</t>
        </is>
      </c>
      <c r="U71" t="inlineStr">
        <is>
          <t>https://img.pokemondb.net/sprites/home/normal/dunsparce.png</t>
        </is>
      </c>
      <c r="V71">
        <f>IMAGE("https://img.pokemondb.net/sprites/home/normal/dunsparce.png")</f>
      </c>
    </row>
    <row r="72">
      <c r="A72" t="inlineStr">
        <is>
          <t>28</t>
        </is>
      </c>
      <c r="B72" t="inlineStr">
        <is>
          <t>Bug Catcher</t>
        </is>
      </c>
      <c r="C72" t="inlineStr">
        <is>
          <t>TRAINERCLASS_BUG_CATCHER</t>
        </is>
      </c>
      <c r="D72" t="inlineStr">
        <is>
          <t>Milo</t>
        </is>
      </c>
      <c r="E72" t="inlineStr">
        <is>
          <t>Route 4, verso Newport</t>
        </is>
      </c>
      <c r="F72" t="inlineStr">
        <is>
          <t>Double Battle</t>
        </is>
      </c>
      <c r="G72" t="inlineStr">
        <is>
          <t/>
        </is>
      </c>
      <c r="H72" t="inlineStr">
        <is>
          <t>2</t>
        </is>
      </c>
      <c r="I72" t="inlineStr">
        <is>
          <t/>
        </is>
      </c>
      <c r="J72" t="inlineStr">
        <is>
          <t>Ferroseed</t>
        </is>
      </c>
      <c r="K72" t="inlineStr">
        <is>
          <t>SPECIES_FERROSEED</t>
        </is>
      </c>
      <c r="L72" t="inlineStr">
        <is>
          <t>14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Tackle</t>
        </is>
      </c>
      <c r="Q72" t="inlineStr">
        <is>
          <t>Harden</t>
        </is>
      </c>
      <c r="R72" t="inlineStr">
        <is>
          <t>Metal Claw</t>
        </is>
      </c>
      <c r="S72" t="inlineStr">
        <is>
          <t>Pin Missile</t>
        </is>
      </c>
      <c r="T72" t="inlineStr">
        <is>
          <t>learnset &lt;= L14</t>
        </is>
      </c>
      <c r="U72" t="inlineStr">
        <is>
          <t>https://img.pokemondb.net/sprites/home/normal/ferroseed.png</t>
        </is>
      </c>
      <c r="V72">
        <f>IMAGE("https://img.pokemondb.net/sprites/home/normal/ferroseed.png")</f>
      </c>
    </row>
    <row r="73">
      <c r="A73" t="inlineStr">
        <is>
          <t>28</t>
        </is>
      </c>
      <c r="B73" t="inlineStr">
        <is>
          <t>Bug Catcher</t>
        </is>
      </c>
      <c r="C73" t="inlineStr">
        <is>
          <t>TRAINERCLASS_BUG_CATCHER</t>
        </is>
      </c>
      <c r="D73" t="inlineStr">
        <is>
          <t>Milo</t>
        </is>
      </c>
      <c r="E73" t="inlineStr">
        <is>
          <t>Route 4, verso Newport</t>
        </is>
      </c>
      <c r="F73" t="inlineStr">
        <is>
          <t>Double Battle</t>
        </is>
      </c>
      <c r="G73" t="inlineStr">
        <is>
          <t/>
        </is>
      </c>
      <c r="H73" t="inlineStr">
        <is>
          <t>3</t>
        </is>
      </c>
      <c r="I73" t="inlineStr">
        <is>
          <t>yes</t>
        </is>
      </c>
      <c r="J73" t="inlineStr">
        <is>
          <t>Heracross</t>
        </is>
      </c>
      <c r="K73" t="inlineStr">
        <is>
          <t>SPECIES_HERACROSS</t>
        </is>
      </c>
      <c r="L73" t="inlineStr">
        <is>
          <t>15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Arm Thrust</t>
        </is>
      </c>
      <c r="Q73" t="inlineStr">
        <is>
          <t>Fury Attack</t>
        </is>
      </c>
      <c r="R73" t="inlineStr">
        <is>
          <t>Endure</t>
        </is>
      </c>
      <c r="S73" t="inlineStr">
        <is>
          <t>Aerial Ace</t>
        </is>
      </c>
      <c r="T73" t="inlineStr">
        <is>
          <t>learnset &lt;= L15</t>
        </is>
      </c>
      <c r="U73" t="inlineStr">
        <is>
          <t>https://img.pokemondb.net/sprites/home/normal/heracross.png</t>
        </is>
      </c>
      <c r="V73">
        <f>IMAGE("https://img.pokemondb.net/sprites/home/normal/heracross.png")</f>
      </c>
    </row>
    <row r="74">
      <c r="A74" t="inlineStr">
        <is>
          <t>29</t>
        </is>
      </c>
      <c r="B74" t="inlineStr">
        <is>
          <t>Sailor</t>
        </is>
      </c>
      <c r="C74" t="inlineStr">
        <is>
          <t>TRAINERCLASS_SAILOR</t>
        </is>
      </c>
      <c r="D74" t="inlineStr">
        <is>
          <t>Ronan</t>
        </is>
      </c>
      <c r="E74" t="inlineStr">
        <is>
          <t>Route 4, verso Newport</t>
        </is>
      </c>
      <c r="F74" t="inlineStr">
        <is>
          <t>Double Battle</t>
        </is>
      </c>
      <c r="G74" t="inlineStr">
        <is>
          <t/>
        </is>
      </c>
      <c r="H74" t="inlineStr">
        <is>
          <t>1</t>
        </is>
      </c>
      <c r="I74" t="inlineStr">
        <is>
          <t/>
        </is>
      </c>
      <c r="J74" t="inlineStr">
        <is>
          <t>Vaporeon</t>
        </is>
      </c>
      <c r="K74" t="inlineStr">
        <is>
          <t>SPECIES_VAPOREON</t>
        </is>
      </c>
      <c r="L74" t="inlineStr">
        <is>
          <t>14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Baton Pass</t>
        </is>
      </c>
      <c r="Q74" t="inlineStr">
        <is>
          <t>Charm</t>
        </is>
      </c>
      <c r="R74" t="inlineStr">
        <is>
          <t>Sand Attack</t>
        </is>
      </c>
      <c r="S74" t="inlineStr">
        <is>
          <t>Quick Attack</t>
        </is>
      </c>
      <c r="T74" t="inlineStr">
        <is>
          <t>learnset &lt;= L14</t>
        </is>
      </c>
      <c r="U74" t="inlineStr">
        <is>
          <t>https://img.pokemondb.net/sprites/home/normal/vaporeon.png</t>
        </is>
      </c>
      <c r="V74">
        <f>IMAGE("https://img.pokemondb.net/sprites/home/normal/vaporeon.png")</f>
      </c>
    </row>
    <row r="75">
      <c r="A75" t="inlineStr">
        <is>
          <t>29</t>
        </is>
      </c>
      <c r="B75" t="inlineStr">
        <is>
          <t>Sailor</t>
        </is>
      </c>
      <c r="C75" t="inlineStr">
        <is>
          <t>TRAINERCLASS_SAILOR</t>
        </is>
      </c>
      <c r="D75" t="inlineStr">
        <is>
          <t>Ronan</t>
        </is>
      </c>
      <c r="E75" t="inlineStr">
        <is>
          <t>Route 4, verso Newport</t>
        </is>
      </c>
      <c r="F75" t="inlineStr">
        <is>
          <t>Double Battle</t>
        </is>
      </c>
      <c r="G75" t="inlineStr">
        <is>
          <t/>
        </is>
      </c>
      <c r="H75" t="inlineStr">
        <is>
          <t>2</t>
        </is>
      </c>
      <c r="I75" t="inlineStr">
        <is>
          <t>yes</t>
        </is>
      </c>
      <c r="J75" t="inlineStr">
        <is>
          <t>Lumineon</t>
        </is>
      </c>
      <c r="K75" t="inlineStr">
        <is>
          <t>SPECIES_LUMINEON</t>
        </is>
      </c>
      <c r="L75" t="inlineStr">
        <is>
          <t>15</t>
        </is>
      </c>
      <c r="M75" t="inlineStr">
        <is>
          <t/>
        </is>
      </c>
      <c r="N75" t="inlineStr">
        <is>
          <t>0</t>
        </is>
      </c>
      <c r="O75" t="inlineStr">
        <is>
          <t>0</t>
        </is>
      </c>
      <c r="P75" t="inlineStr">
        <is>
          <t>Gust</t>
        </is>
      </c>
      <c r="Q75" t="inlineStr">
        <is>
          <t>Water Gun</t>
        </is>
      </c>
      <c r="R75" t="inlineStr">
        <is>
          <t>Soak</t>
        </is>
      </c>
      <c r="S75" t="inlineStr">
        <is>
          <t>Rain Dance</t>
        </is>
      </c>
      <c r="T75" t="inlineStr">
        <is>
          <t>learnset &lt;= L15</t>
        </is>
      </c>
      <c r="U75" t="inlineStr">
        <is>
          <t>https://img.pokemondb.net/sprites/home/normal/lumineon.png</t>
        </is>
      </c>
      <c r="V75">
        <f>IMAGE("https://img.pokemondb.net/sprites/home/normal/lumineon.png")</f>
      </c>
    </row>
    <row r="76">
      <c r="A76" t="inlineStr">
        <is>
          <t>36</t>
        </is>
      </c>
      <c r="B76" t="inlineStr">
        <is>
          <t>Black Belt</t>
        </is>
      </c>
      <c r="C76" t="inlineStr">
        <is>
          <t>TRAINERCLASS_BLACK_BELT</t>
        </is>
      </c>
      <c r="D76" t="inlineStr">
        <is>
          <t>Daichi</t>
        </is>
      </c>
      <c r="E76" t="inlineStr">
        <is>
          <t>Route 4, verso Newport, script battle Hitmonlee</t>
        </is>
      </c>
      <c r="F76" t="inlineStr">
        <is>
          <t>Single Battle</t>
        </is>
      </c>
      <c r="G76" t="inlineStr">
        <is>
          <t/>
        </is>
      </c>
      <c r="H76" t="inlineStr">
        <is>
          <t>1</t>
        </is>
      </c>
      <c r="I76" t="inlineStr">
        <is>
          <t/>
        </is>
      </c>
      <c r="J76" t="inlineStr">
        <is>
          <t>Hitmonlee</t>
        </is>
      </c>
      <c r="K76" t="inlineStr">
        <is>
          <t>SPECIES_HITMONLEE</t>
        </is>
      </c>
      <c r="L76" t="inlineStr">
        <is>
          <t>20</t>
        </is>
      </c>
      <c r="M76" t="inlineStr">
        <is>
          <t/>
        </is>
      </c>
      <c r="N76" t="inlineStr">
        <is>
          <t>0</t>
        </is>
      </c>
      <c r="O76" t="inlineStr">
        <is>
          <t>0</t>
        </is>
      </c>
      <c r="P76" t="inlineStr">
        <is>
          <t>Double Kick</t>
        </is>
      </c>
      <c r="Q76" t="inlineStr">
        <is>
          <t>Low Kick</t>
        </is>
      </c>
      <c r="R76" t="inlineStr">
        <is>
          <t>Endure</t>
        </is>
      </c>
      <c r="S76" t="inlineStr">
        <is>
          <t>Sucker Punch</t>
        </is>
      </c>
      <c r="T76" t="inlineStr">
        <is>
          <t>learnset &lt;= L20</t>
        </is>
      </c>
      <c r="U76" t="inlineStr">
        <is>
          <t>https://img.pokemondb.net/sprites/home/normal/hitmonlee.png</t>
        </is>
      </c>
      <c r="V76">
        <f>IMAGE("https://img.pokemondb.net/sprites/home/normal/hitmonlee.png")</f>
      </c>
    </row>
    <row r="77">
      <c r="A77" t="inlineStr">
        <is>
          <t>37</t>
        </is>
      </c>
      <c r="B77" t="inlineStr">
        <is>
          <t>Black Belt</t>
        </is>
      </c>
      <c r="C77" t="inlineStr">
        <is>
          <t>TRAINERCLASS_BLACK_BELT</t>
        </is>
      </c>
      <c r="D77" t="inlineStr">
        <is>
          <t>Daichi</t>
        </is>
      </c>
      <c r="E77" t="inlineStr">
        <is>
          <t>Route 4, verso Newport, script battle Hitmonchan</t>
        </is>
      </c>
      <c r="F77" t="inlineStr">
        <is>
          <t>Single Battle</t>
        </is>
      </c>
      <c r="G77" t="inlineStr">
        <is>
          <t/>
        </is>
      </c>
      <c r="H77" t="inlineStr">
        <is>
          <t>1</t>
        </is>
      </c>
      <c r="I77" t="inlineStr">
        <is>
          <t/>
        </is>
      </c>
      <c r="J77" t="inlineStr">
        <is>
          <t>Hitmonchan</t>
        </is>
      </c>
      <c r="K77" t="inlineStr">
        <is>
          <t>SPECIES_HITMONCHAN</t>
        </is>
      </c>
      <c r="L77" t="inlineStr">
        <is>
          <t>20</t>
        </is>
      </c>
      <c r="M77" t="inlineStr">
        <is>
          <t/>
        </is>
      </c>
      <c r="N77" t="inlineStr">
        <is>
          <t>0</t>
        </is>
      </c>
      <c r="O77" t="inlineStr">
        <is>
          <t>0</t>
        </is>
      </c>
      <c r="P77" t="inlineStr">
        <is>
          <t>Mach Punch</t>
        </is>
      </c>
      <c r="Q77" t="inlineStr">
        <is>
          <t>Vacuum Wave</t>
        </is>
      </c>
      <c r="R77" t="inlineStr">
        <is>
          <t>Detect</t>
        </is>
      </c>
      <c r="S77" t="inlineStr">
        <is>
          <t>Bullet Punch</t>
        </is>
      </c>
      <c r="T77" t="inlineStr">
        <is>
          <t>learnset &lt;= L20</t>
        </is>
      </c>
      <c r="U77" t="inlineStr">
        <is>
          <t>https://img.pokemondb.net/sprites/home/normal/hitmonchan.png</t>
        </is>
      </c>
      <c r="V77">
        <f>IMAGE("https://img.pokemondb.net/sprites/home/normal/hitmonchan.png")</f>
      </c>
    </row>
    <row r="78">
      <c r="A78" t="inlineStr">
        <is>
          <t>253</t>
        </is>
      </c>
      <c r="B78" t="inlineStr">
        <is>
          <t>Gym Leader</t>
        </is>
      </c>
      <c r="C78" t="inlineStr">
        <is>
          <t>TRAINERCLASS_LEADER_BROCK</t>
        </is>
      </c>
      <c r="D78" t="inlineStr">
        <is>
          <t>Kaseki</t>
        </is>
      </c>
      <c r="E78" t="inlineStr">
        <is>
          <t>Palestra Roccia</t>
        </is>
      </c>
      <c r="F78" t="inlineStr">
        <is>
          <t>Double Battle</t>
        </is>
      </c>
      <c r="G78" t="inlineStr">
        <is>
          <t>Super Potion</t>
        </is>
      </c>
      <c r="H78" t="inlineStr">
        <is>
          <t>1</t>
        </is>
      </c>
      <c r="I78" t="inlineStr">
        <is>
          <t/>
        </is>
      </c>
      <c r="J78" t="inlineStr">
        <is>
          <t>Omanyte</t>
        </is>
      </c>
      <c r="K78" t="inlineStr">
        <is>
          <t>SPECIES_OMANYTE</t>
        </is>
      </c>
      <c r="L78" t="inlineStr">
        <is>
          <t>14</t>
        </is>
      </c>
      <c r="M78" t="inlineStr">
        <is>
          <t/>
        </is>
      </c>
      <c r="N78" t="inlineStr">
        <is>
          <t>200</t>
        </is>
      </c>
      <c r="O78" t="inlineStr">
        <is>
          <t>0</t>
        </is>
      </c>
      <c r="P78" t="inlineStr">
        <is>
          <t>Protect</t>
        </is>
      </c>
      <c r="Q78" t="inlineStr">
        <is>
          <t>Harden</t>
        </is>
      </c>
      <c r="R78" t="inlineStr">
        <is>
          <t>Ancient Power</t>
        </is>
      </c>
      <c r="S78" t="inlineStr">
        <is>
          <t>Water Gun</t>
        </is>
      </c>
      <c r="T78" t="inlineStr">
        <is>
          <t>explicit trainer moves</t>
        </is>
      </c>
      <c r="U78" t="inlineStr">
        <is>
          <t>https://img.pokemondb.net/sprites/home/normal/omanyte.png</t>
        </is>
      </c>
      <c r="V78">
        <f>IMAGE("https://img.pokemondb.net/sprites/home/normal/omanyte.png")</f>
      </c>
    </row>
    <row r="79">
      <c r="A79" t="inlineStr">
        <is>
          <t>253</t>
        </is>
      </c>
      <c r="B79" t="inlineStr">
        <is>
          <t>Gym Leader</t>
        </is>
      </c>
      <c r="C79" t="inlineStr">
        <is>
          <t>TRAINERCLASS_LEADER_BROCK</t>
        </is>
      </c>
      <c r="D79" t="inlineStr">
        <is>
          <t>Kaseki</t>
        </is>
      </c>
      <c r="E79" t="inlineStr">
        <is>
          <t>Palestra Roccia</t>
        </is>
      </c>
      <c r="F79" t="inlineStr">
        <is>
          <t>Double Battle</t>
        </is>
      </c>
      <c r="G79" t="inlineStr">
        <is>
          <t>Super Potion</t>
        </is>
      </c>
      <c r="H79" t="inlineStr">
        <is>
          <t>2</t>
        </is>
      </c>
      <c r="I79" t="inlineStr">
        <is>
          <t/>
        </is>
      </c>
      <c r="J79" t="inlineStr">
        <is>
          <t>Archen</t>
        </is>
      </c>
      <c r="K79" t="inlineStr">
        <is>
          <t>SPECIES_ARCHEN</t>
        </is>
      </c>
      <c r="L79" t="inlineStr">
        <is>
          <t>14</t>
        </is>
      </c>
      <c r="M79" t="inlineStr">
        <is>
          <t/>
        </is>
      </c>
      <c r="N79" t="inlineStr">
        <is>
          <t>200</t>
        </is>
      </c>
      <c r="O79" t="inlineStr">
        <is>
          <t>0</t>
        </is>
      </c>
      <c r="P79" t="inlineStr">
        <is>
          <t>Aerial Ace</t>
        </is>
      </c>
      <c r="Q79" t="inlineStr">
        <is>
          <t>Wing Attack</t>
        </is>
      </c>
      <c r="R79" t="inlineStr">
        <is>
          <t>Ancient Power</t>
        </is>
      </c>
      <c r="S79" t="inlineStr">
        <is>
          <t>Quick Attack</t>
        </is>
      </c>
      <c r="T79" t="inlineStr">
        <is>
          <t>explicit trainer moves</t>
        </is>
      </c>
      <c r="U79" t="inlineStr">
        <is>
          <t>https://img.pokemondb.net/sprites/home/normal/archen.png</t>
        </is>
      </c>
      <c r="V79">
        <f>IMAGE("https://img.pokemondb.net/sprites/home/normal/archen.png")</f>
      </c>
    </row>
    <row r="80">
      <c r="A80" t="inlineStr">
        <is>
          <t>253</t>
        </is>
      </c>
      <c r="B80" t="inlineStr">
        <is>
          <t>Gym Leader</t>
        </is>
      </c>
      <c r="C80" t="inlineStr">
        <is>
          <t>TRAINERCLASS_LEADER_BROCK</t>
        </is>
      </c>
      <c r="D80" t="inlineStr">
        <is>
          <t>Kaseki</t>
        </is>
      </c>
      <c r="E80" t="inlineStr">
        <is>
          <t>Palestra Roccia</t>
        </is>
      </c>
      <c r="F80" t="inlineStr">
        <is>
          <t>Double Battle</t>
        </is>
      </c>
      <c r="G80" t="inlineStr">
        <is>
          <t>Super Potion</t>
        </is>
      </c>
      <c r="H80" t="inlineStr">
        <is>
          <t>3</t>
        </is>
      </c>
      <c r="I80" t="inlineStr">
        <is>
          <t>yes</t>
        </is>
      </c>
      <c r="J80" t="inlineStr">
        <is>
          <t>Shieldon</t>
        </is>
      </c>
      <c r="K80" t="inlineStr">
        <is>
          <t>SPECIES_SHIELDON</t>
        </is>
      </c>
      <c r="L80" t="inlineStr">
        <is>
          <t>17</t>
        </is>
      </c>
      <c r="M80" t="inlineStr">
        <is>
          <t>Oran Berry</t>
        </is>
      </c>
      <c r="N80" t="inlineStr">
        <is>
          <t>200</t>
        </is>
      </c>
      <c r="O80" t="inlineStr">
        <is>
          <t>0</t>
        </is>
      </c>
      <c r="P80" t="inlineStr">
        <is>
          <t>Protect</t>
        </is>
      </c>
      <c r="Q80" t="inlineStr">
        <is>
          <t>Iron Head</t>
        </is>
      </c>
      <c r="R80" t="inlineStr">
        <is>
          <t>Ancient Power</t>
        </is>
      </c>
      <c r="S80" t="inlineStr">
        <is>
          <t>Metal Burst</t>
        </is>
      </c>
      <c r="T80" t="inlineStr">
        <is>
          <t>explicit trainer moves</t>
        </is>
      </c>
      <c r="U80" t="inlineStr">
        <is>
          <t>https://img.pokemondb.net/sprites/home/normal/shieldon.png</t>
        </is>
      </c>
      <c r="V80">
        <f>IMAGE("https://img.pokemondb.net/sprites/home/normal/shieldon.png")</f>
      </c>
    </row>
    <row r="81">
      <c r="A81" t="inlineStr">
        <is>
          <t>256</t>
        </is>
      </c>
      <c r="B81" t="inlineStr">
        <is>
          <t>Gym Leader</t>
        </is>
      </c>
      <c r="C81" t="inlineStr">
        <is>
          <t>TRAINERCLASS_LEADER_ERIKA</t>
        </is>
      </c>
      <c r="D81" t="inlineStr">
        <is>
          <t>Erika</t>
        </is>
      </c>
      <c r="E81" t="inlineStr">
        <is>
          <t>Palestra Erba</t>
        </is>
      </c>
      <c r="F81" t="inlineStr">
        <is>
          <t>Double Battle</t>
        </is>
      </c>
      <c r="G81" t="inlineStr">
        <is>
          <t>Potion</t>
        </is>
      </c>
      <c r="H81" t="inlineStr">
        <is>
          <t>1</t>
        </is>
      </c>
      <c r="I81" t="inlineStr">
        <is>
          <t>yes</t>
        </is>
      </c>
      <c r="J81" t="inlineStr">
        <is>
          <t>Carnivine</t>
        </is>
      </c>
      <c r="K81" t="inlineStr">
        <is>
          <t>SPECIES_CARNIVINE</t>
        </is>
      </c>
      <c r="L81" t="inlineStr">
        <is>
          <t>12</t>
        </is>
      </c>
      <c r="M81" t="inlineStr">
        <is>
          <t/>
        </is>
      </c>
      <c r="N81" t="inlineStr">
        <is>
          <t>200</t>
        </is>
      </c>
      <c r="O81" t="inlineStr">
        <is>
          <t>0</t>
        </is>
      </c>
      <c r="P81" t="inlineStr">
        <is>
          <t>Vine Whip</t>
        </is>
      </c>
      <c r="Q81" t="inlineStr">
        <is>
          <t>Bind</t>
        </is>
      </c>
      <c r="R81" t="inlineStr">
        <is>
          <t>Growth</t>
        </is>
      </c>
      <c r="S81" t="inlineStr">
        <is>
          <t>Sweet Scent</t>
        </is>
      </c>
      <c r="T81" t="inlineStr">
        <is>
          <t>explicit trainer moves</t>
        </is>
      </c>
      <c r="U81" t="inlineStr">
        <is>
          <t>https://img.pokemondb.net/sprites/home/normal/carnivine.png</t>
        </is>
      </c>
      <c r="V81">
        <f>IMAGE("https://img.pokemondb.net/sprites/home/normal/carnivine.png")</f>
      </c>
    </row>
    <row r="82">
      <c r="A82" t="inlineStr">
        <is>
          <t>256</t>
        </is>
      </c>
      <c r="B82" t="inlineStr">
        <is>
          <t>Gym Leader</t>
        </is>
      </c>
      <c r="C82" t="inlineStr">
        <is>
          <t>TRAINERCLASS_LEADER_ERIKA</t>
        </is>
      </c>
      <c r="D82" t="inlineStr">
        <is>
          <t>Erika</t>
        </is>
      </c>
      <c r="E82" t="inlineStr">
        <is>
          <t>Palestra Erba</t>
        </is>
      </c>
      <c r="F82" t="inlineStr">
        <is>
          <t>Double Battle</t>
        </is>
      </c>
      <c r="G82" t="inlineStr">
        <is>
          <t>Potion</t>
        </is>
      </c>
      <c r="H82" t="inlineStr">
        <is>
          <t>2</t>
        </is>
      </c>
      <c r="I82" t="inlineStr">
        <is>
          <t>yes</t>
        </is>
      </c>
      <c r="J82" t="inlineStr">
        <is>
          <t>Carnivine</t>
        </is>
      </c>
      <c r="K82" t="inlineStr">
        <is>
          <t>SPECIES_CARNIVINE</t>
        </is>
      </c>
      <c r="L82" t="inlineStr">
        <is>
          <t>12</t>
        </is>
      </c>
      <c r="M82" t="inlineStr">
        <is>
          <t>Oran Berry</t>
        </is>
      </c>
      <c r="N82" t="inlineStr">
        <is>
          <t>200</t>
        </is>
      </c>
      <c r="O82" t="inlineStr">
        <is>
          <t>0</t>
        </is>
      </c>
      <c r="P82" t="inlineStr">
        <is>
          <t>Razor Leaf</t>
        </is>
      </c>
      <c r="Q82" t="inlineStr">
        <is>
          <t>Bite</t>
        </is>
      </c>
      <c r="R82" t="inlineStr">
        <is>
          <t>Ingrain</t>
        </is>
      </c>
      <c r="S82" t="inlineStr">
        <is>
          <t>Growth</t>
        </is>
      </c>
      <c r="T82" t="inlineStr">
        <is>
          <t>explicit trainer moves</t>
        </is>
      </c>
      <c r="U82" t="inlineStr">
        <is>
          <t>https://img.pokemondb.net/sprites/home/normal/carnivine.png</t>
        </is>
      </c>
      <c r="V82">
        <f>IMAGE("https://img.pokemondb.net/sprites/home/normal/carnivine.png")</f>
      </c>
    </row>
    <row r="83">
      <c r="A83" t="inlineStr">
        <is>
          <t>308</t>
        </is>
      </c>
      <c r="B83" t="inlineStr">
        <is>
          <t>Camper</t>
        </is>
      </c>
      <c r="C83" t="inlineStr">
        <is>
          <t>TRAINERCLASS_CAMPER</t>
        </is>
      </c>
      <c r="D83" t="inlineStr">
        <is>
          <t>Jerry</t>
        </is>
      </c>
      <c r="E83" t="inlineStr">
        <is>
          <t>Palestra Roccia</t>
        </is>
      </c>
      <c r="F83" t="inlineStr">
        <is>
          <t>Double Battle</t>
        </is>
      </c>
      <c r="G83" t="inlineStr">
        <is>
          <t/>
        </is>
      </c>
      <c r="H83" t="inlineStr">
        <is>
          <t>1</t>
        </is>
      </c>
      <c r="I83" t="inlineStr">
        <is>
          <t/>
        </is>
      </c>
      <c r="J83" t="inlineStr">
        <is>
          <t>Geodude</t>
        </is>
      </c>
      <c r="K83" t="inlineStr">
        <is>
          <t>SPECIES_GEODUDE</t>
        </is>
      </c>
      <c r="L83" t="inlineStr">
        <is>
          <t>12</t>
        </is>
      </c>
      <c r="M83" t="inlineStr">
        <is>
          <t/>
        </is>
      </c>
      <c r="N83" t="inlineStr">
        <is>
          <t>0</t>
        </is>
      </c>
      <c r="O83" t="inlineStr">
        <is>
          <t>0</t>
        </is>
      </c>
      <c r="P83" t="inlineStr">
        <is>
          <t>Defense Curl</t>
        </is>
      </c>
      <c r="Q83" t="inlineStr">
        <is>
          <t>Rock Polish</t>
        </is>
      </c>
      <c r="R83" t="inlineStr">
        <is>
          <t>Rollout</t>
        </is>
      </c>
      <c r="S83" t="inlineStr">
        <is>
          <t>Bulldoze</t>
        </is>
      </c>
      <c r="T83" t="inlineStr">
        <is>
          <t>learnset &lt;= L12</t>
        </is>
      </c>
      <c r="U83" t="inlineStr">
        <is>
          <t>https://img.pokemondb.net/sprites/home/normal/geodude.png</t>
        </is>
      </c>
      <c r="V83">
        <f>IMAGE("https://img.pokemondb.net/sprites/home/normal/geodude.png")</f>
      </c>
    </row>
    <row r="84">
      <c r="A84" t="inlineStr">
        <is>
          <t>308</t>
        </is>
      </c>
      <c r="B84" t="inlineStr">
        <is>
          <t>Camper</t>
        </is>
      </c>
      <c r="C84" t="inlineStr">
        <is>
          <t>TRAINERCLASS_CAMPER</t>
        </is>
      </c>
      <c r="D84" t="inlineStr">
        <is>
          <t>Jerry</t>
        </is>
      </c>
      <c r="E84" t="inlineStr">
        <is>
          <t>Palestra Roccia</t>
        </is>
      </c>
      <c r="F84" t="inlineStr">
        <is>
          <t>Double Battle</t>
        </is>
      </c>
      <c r="G84" t="inlineStr">
        <is>
          <t/>
        </is>
      </c>
      <c r="H84" t="inlineStr">
        <is>
          <t>2</t>
        </is>
      </c>
      <c r="I84" t="inlineStr">
        <is>
          <t>yes</t>
        </is>
      </c>
      <c r="J84" t="inlineStr">
        <is>
          <t>Kabuto</t>
        </is>
      </c>
      <c r="K84" t="inlineStr">
        <is>
          <t>SPECIES_KABUTO</t>
        </is>
      </c>
      <c r="L84" t="inlineStr">
        <is>
          <t>14</t>
        </is>
      </c>
      <c r="M84" t="inlineStr">
        <is>
          <t/>
        </is>
      </c>
      <c r="N84" t="inlineStr">
        <is>
          <t>0</t>
        </is>
      </c>
      <c r="O84" t="inlineStr">
        <is>
          <t>0</t>
        </is>
      </c>
      <c r="P84" t="inlineStr">
        <is>
          <t>Absorb</t>
        </is>
      </c>
      <c r="Q84" t="inlineStr">
        <is>
          <t>Harden</t>
        </is>
      </c>
      <c r="R84" t="inlineStr">
        <is>
          <t>Scratch</t>
        </is>
      </c>
      <c r="S84" t="inlineStr">
        <is>
          <t>Sand Attack</t>
        </is>
      </c>
      <c r="T84" t="inlineStr">
        <is>
          <t>learnset &lt;= L14</t>
        </is>
      </c>
      <c r="U84" t="inlineStr">
        <is>
          <t>https://img.pokemondb.net/sprites/home/normal/kabuto.png</t>
        </is>
      </c>
      <c r="V84">
        <f>IMAGE("https://img.pokemondb.net/sprites/home/normal/kabuto.png")</f>
      </c>
    </row>
    <row r="85">
      <c r="A85" t="inlineStr">
        <is>
          <t>346</t>
        </is>
      </c>
      <c r="B85" t="inlineStr">
        <is>
          <t>Beauty</t>
        </is>
      </c>
      <c r="C85" t="inlineStr">
        <is>
          <t>TRAINERCLASS_BEAUTY</t>
        </is>
      </c>
      <c r="D85" t="inlineStr">
        <is>
          <t>Julia</t>
        </is>
      </c>
      <c r="E85" t="inlineStr">
        <is>
          <t>Palestra Erba</t>
        </is>
      </c>
      <c r="F85" t="inlineStr">
        <is>
          <t>Double Battle</t>
        </is>
      </c>
      <c r="G85" t="inlineStr">
        <is>
          <t/>
        </is>
      </c>
      <c r="H85" t="inlineStr">
        <is>
          <t>1</t>
        </is>
      </c>
      <c r="I85" t="inlineStr">
        <is>
          <t>yes</t>
        </is>
      </c>
      <c r="J85" t="inlineStr">
        <is>
          <t>Turtwig</t>
        </is>
      </c>
      <c r="K85" t="inlineStr">
        <is>
          <t>SPECIES_TURTWIG</t>
        </is>
      </c>
      <c r="L85" t="inlineStr">
        <is>
          <t>11</t>
        </is>
      </c>
      <c r="M85" t="inlineStr">
        <is>
          <t/>
        </is>
      </c>
      <c r="N85" t="inlineStr">
        <is>
          <t>0</t>
        </is>
      </c>
      <c r="O85" t="inlineStr">
        <is>
          <t>0</t>
        </is>
      </c>
      <c r="P85" t="inlineStr">
        <is>
          <t>Tackle</t>
        </is>
      </c>
      <c r="Q85" t="inlineStr">
        <is>
          <t>Withdraw</t>
        </is>
      </c>
      <c r="R85" t="inlineStr">
        <is>
          <t>Absorb</t>
        </is>
      </c>
      <c r="S85" t="inlineStr">
        <is>
          <t/>
        </is>
      </c>
      <c r="T85" t="inlineStr">
        <is>
          <t>learnset &lt;= L11</t>
        </is>
      </c>
      <c r="U85" t="inlineStr">
        <is>
          <t>https://img.pokemondb.net/sprites/home/normal/turtwig.png</t>
        </is>
      </c>
      <c r="V85">
        <f>IMAGE("https://img.pokemondb.net/sprites/home/normal/turtwig.png")</f>
      </c>
    </row>
    <row r="86">
      <c r="A86" t="inlineStr">
        <is>
          <t>346</t>
        </is>
      </c>
      <c r="B86" t="inlineStr">
        <is>
          <t>Beauty</t>
        </is>
      </c>
      <c r="C86" t="inlineStr">
        <is>
          <t>TRAINERCLASS_BEAUTY</t>
        </is>
      </c>
      <c r="D86" t="inlineStr">
        <is>
          <t>Julia</t>
        </is>
      </c>
      <c r="E86" t="inlineStr">
        <is>
          <t>Palestra Erba</t>
        </is>
      </c>
      <c r="F86" t="inlineStr">
        <is>
          <t>Double Battle</t>
        </is>
      </c>
      <c r="G86" t="inlineStr">
        <is>
          <t/>
        </is>
      </c>
      <c r="H86" t="inlineStr">
        <is>
          <t>2</t>
        </is>
      </c>
      <c r="I86" t="inlineStr">
        <is>
          <t/>
        </is>
      </c>
      <c r="J86" t="inlineStr">
        <is>
          <t>Spinarak</t>
        </is>
      </c>
      <c r="K86" t="inlineStr">
        <is>
          <t>SPECIES_SPINARAK</t>
        </is>
      </c>
      <c r="L86" t="inlineStr">
        <is>
          <t>8</t>
        </is>
      </c>
      <c r="M86" t="inlineStr">
        <is>
          <t/>
        </is>
      </c>
      <c r="N86" t="inlineStr">
        <is>
          <t>0</t>
        </is>
      </c>
      <c r="O86" t="inlineStr">
        <is>
          <t>0</t>
        </is>
      </c>
      <c r="P86" t="inlineStr">
        <is>
          <t>Poison Sting</t>
        </is>
      </c>
      <c r="Q86" t="inlineStr">
        <is>
          <t>String Shot</t>
        </is>
      </c>
      <c r="R86" t="inlineStr">
        <is>
          <t>Absorb</t>
        </is>
      </c>
      <c r="S86" t="inlineStr">
        <is>
          <t>Infestation</t>
        </is>
      </c>
      <c r="T86" t="inlineStr">
        <is>
          <t>learnset &lt;= L8</t>
        </is>
      </c>
      <c r="U86" t="inlineStr">
        <is>
          <t>https://img.pokemondb.net/sprites/home/normal/spinarak.png</t>
        </is>
      </c>
      <c r="V86">
        <f>IMAGE("https://img.pokemondb.net/sprites/home/normal/spinarak.png")</f>
      </c>
    </row>
    <row r="87">
      <c r="A87" t="inlineStr">
        <is>
          <t>346</t>
        </is>
      </c>
      <c r="B87" t="inlineStr">
        <is>
          <t>Beauty</t>
        </is>
      </c>
      <c r="C87" t="inlineStr">
        <is>
          <t>TRAINERCLASS_BEAUTY</t>
        </is>
      </c>
      <c r="D87" t="inlineStr">
        <is>
          <t>Julia</t>
        </is>
      </c>
      <c r="E87" t="inlineStr">
        <is>
          <t>Palestra Erba</t>
        </is>
      </c>
      <c r="F87" t="inlineStr">
        <is>
          <t>Double Battle</t>
        </is>
      </c>
      <c r="G87" t="inlineStr">
        <is>
          <t/>
        </is>
      </c>
      <c r="H87" t="inlineStr">
        <is>
          <t>3</t>
        </is>
      </c>
      <c r="I87" t="inlineStr">
        <is>
          <t/>
        </is>
      </c>
      <c r="J87" t="inlineStr">
        <is>
          <t>Spinarak</t>
        </is>
      </c>
      <c r="K87" t="inlineStr">
        <is>
          <t>SPECIES_SPINARAK</t>
        </is>
      </c>
      <c r="L87" t="inlineStr">
        <is>
          <t>8</t>
        </is>
      </c>
      <c r="M87" t="inlineStr">
        <is>
          <t/>
        </is>
      </c>
      <c r="N87" t="inlineStr">
        <is>
          <t>0</t>
        </is>
      </c>
      <c r="O87" t="inlineStr">
        <is>
          <t>0</t>
        </is>
      </c>
      <c r="P87" t="inlineStr">
        <is>
          <t>Poison Sting</t>
        </is>
      </c>
      <c r="Q87" t="inlineStr">
        <is>
          <t>String Shot</t>
        </is>
      </c>
      <c r="R87" t="inlineStr">
        <is>
          <t>Absorb</t>
        </is>
      </c>
      <c r="S87" t="inlineStr">
        <is>
          <t>Infestation</t>
        </is>
      </c>
      <c r="T87" t="inlineStr">
        <is>
          <t>learnset &lt;= L8</t>
        </is>
      </c>
      <c r="U87" t="inlineStr">
        <is>
          <t>https://img.pokemondb.net/sprites/home/normal/spinarak.png</t>
        </is>
      </c>
      <c r="V87">
        <f>IMAGE("https://img.pokemondb.net/sprites/home/normal/spinarak.png")</f>
      </c>
    </row>
    <row r="88">
      <c r="A88" t="inlineStr">
        <is>
          <t>356</t>
        </is>
      </c>
      <c r="B88" t="inlineStr">
        <is>
          <t>Lass</t>
        </is>
      </c>
      <c r="C88" t="inlineStr">
        <is>
          <t>TRAINERCLASS_LASS</t>
        </is>
      </c>
      <c r="D88" t="inlineStr">
        <is>
          <t>Michelle</t>
        </is>
      </c>
      <c r="E88" t="inlineStr">
        <is>
          <t>Palestra Erba</t>
        </is>
      </c>
      <c r="F88" t="inlineStr">
        <is>
          <t>Double Battle</t>
        </is>
      </c>
      <c r="G88" t="inlineStr">
        <is>
          <t/>
        </is>
      </c>
      <c r="H88" t="inlineStr">
        <is>
          <t>1</t>
        </is>
      </c>
      <c r="I88" t="inlineStr">
        <is>
          <t>yes</t>
        </is>
      </c>
      <c r="J88" t="inlineStr">
        <is>
          <t>Roselia</t>
        </is>
      </c>
      <c r="K88" t="inlineStr">
        <is>
          <t>SPECIES_ROSELIA</t>
        </is>
      </c>
      <c r="L88" t="inlineStr">
        <is>
          <t>9</t>
        </is>
      </c>
      <c r="M88" t="inlineStr">
        <is>
          <t/>
        </is>
      </c>
      <c r="N88" t="inlineStr">
        <is>
          <t>0</t>
        </is>
      </c>
      <c r="O88" t="inlineStr">
        <is>
          <t>0</t>
        </is>
      </c>
      <c r="P88" t="inlineStr">
        <is>
          <t>Poison Sting</t>
        </is>
      </c>
      <c r="Q88" t="inlineStr">
        <is>
          <t>Stun Spore</t>
        </is>
      </c>
      <c r="R88" t="inlineStr">
        <is>
          <t>Worry Seed</t>
        </is>
      </c>
      <c r="S88" t="inlineStr">
        <is>
          <t>Mega Drain</t>
        </is>
      </c>
      <c r="T88" t="inlineStr">
        <is>
          <t>learnset &lt;= L9</t>
        </is>
      </c>
      <c r="U88" t="inlineStr">
        <is>
          <t>https://img.pokemondb.net/sprites/home/normal/roselia.png</t>
        </is>
      </c>
      <c r="V88">
        <f>IMAGE("https://img.pokemondb.net/sprites/home/normal/roselia.png")</f>
      </c>
    </row>
    <row r="89">
      <c r="A89" t="inlineStr">
        <is>
          <t>356</t>
        </is>
      </c>
      <c r="B89" t="inlineStr">
        <is>
          <t>Lass</t>
        </is>
      </c>
      <c r="C89" t="inlineStr">
        <is>
          <t>TRAINERCLASS_LASS</t>
        </is>
      </c>
      <c r="D89" t="inlineStr">
        <is>
          <t>Michelle</t>
        </is>
      </c>
      <c r="E89" t="inlineStr">
        <is>
          <t>Palestra Erba</t>
        </is>
      </c>
      <c r="F89" t="inlineStr">
        <is>
          <t>Double Battle</t>
        </is>
      </c>
      <c r="G89" t="inlineStr">
        <is>
          <t/>
        </is>
      </c>
      <c r="H89" t="inlineStr">
        <is>
          <t>2</t>
        </is>
      </c>
      <c r="I89" t="inlineStr">
        <is>
          <t/>
        </is>
      </c>
      <c r="J89" t="inlineStr">
        <is>
          <t>Cottonee</t>
        </is>
      </c>
      <c r="K89" t="inlineStr">
        <is>
          <t>SPECIES_COTTONEE</t>
        </is>
      </c>
      <c r="L89" t="inlineStr">
        <is>
          <t>8</t>
        </is>
      </c>
      <c r="M89" t="inlineStr">
        <is>
          <t/>
        </is>
      </c>
      <c r="N89" t="inlineStr">
        <is>
          <t>0</t>
        </is>
      </c>
      <c r="O89" t="inlineStr">
        <is>
          <t>0</t>
        </is>
      </c>
      <c r="P89" t="inlineStr">
        <is>
          <t>Helping Hand</t>
        </is>
      </c>
      <c r="Q89" t="inlineStr">
        <is>
          <t>Absorb</t>
        </is>
      </c>
      <c r="R89" t="inlineStr">
        <is>
          <t>Fairy Wind</t>
        </is>
      </c>
      <c r="S89" t="inlineStr">
        <is>
          <t>Stun Spore</t>
        </is>
      </c>
      <c r="T89" t="inlineStr">
        <is>
          <t>learnset &lt;= L8</t>
        </is>
      </c>
      <c r="U89" t="inlineStr">
        <is>
          <t>https://img.pokemondb.net/sprites/home/normal/cottonee.png</t>
        </is>
      </c>
      <c r="V89">
        <f>IMAGE("https://img.pokemondb.net/sprites/home/normal/cottonee.png")</f>
      </c>
    </row>
    <row r="90">
      <c r="A90" t="inlineStr">
        <is>
          <t>356</t>
        </is>
      </c>
      <c r="B90" t="inlineStr">
        <is>
          <t>Lass</t>
        </is>
      </c>
      <c r="C90" t="inlineStr">
        <is>
          <t>TRAINERCLASS_LASS</t>
        </is>
      </c>
      <c r="D90" t="inlineStr">
        <is>
          <t>Michelle</t>
        </is>
      </c>
      <c r="E90" t="inlineStr">
        <is>
          <t>Palestra Erba</t>
        </is>
      </c>
      <c r="F90" t="inlineStr">
        <is>
          <t>Double Battle</t>
        </is>
      </c>
      <c r="G90" t="inlineStr">
        <is>
          <t/>
        </is>
      </c>
      <c r="H90" t="inlineStr">
        <is>
          <t>3</t>
        </is>
      </c>
      <c r="I90" t="inlineStr">
        <is>
          <t/>
        </is>
      </c>
      <c r="J90" t="inlineStr">
        <is>
          <t>Bonsly</t>
        </is>
      </c>
      <c r="K90" t="inlineStr">
        <is>
          <t>SPECIES_BONSLY</t>
        </is>
      </c>
      <c r="L90" t="inlineStr">
        <is>
          <t>7</t>
        </is>
      </c>
      <c r="M90" t="inlineStr">
        <is>
          <t/>
        </is>
      </c>
      <c r="N90" t="inlineStr">
        <is>
          <t>0</t>
        </is>
      </c>
      <c r="O90" t="inlineStr">
        <is>
          <t>0</t>
        </is>
      </c>
      <c r="P90" t="inlineStr">
        <is>
          <t>Fake Tears</t>
        </is>
      </c>
      <c r="Q90" t="inlineStr">
        <is>
          <t>Copycat</t>
        </is>
      </c>
      <c r="R90" t="inlineStr">
        <is>
          <t>Flail</t>
        </is>
      </c>
      <c r="S90" t="inlineStr">
        <is>
          <t/>
        </is>
      </c>
      <c r="T90" t="inlineStr">
        <is>
          <t>learnset &lt;= L7</t>
        </is>
      </c>
      <c r="U90" t="inlineStr">
        <is>
          <t>https://img.pokemondb.net/sprites/home/normal/bonsly.png</t>
        </is>
      </c>
      <c r="V90">
        <f>IMAGE("https://img.pokemondb.net/sprites/home/normal/bonsly.png")</f>
      </c>
    </row>
    <row r="91">
      <c r="A91" t="inlineStr">
        <is>
          <t>356</t>
        </is>
      </c>
      <c r="B91" t="inlineStr">
        <is>
          <t>Lass</t>
        </is>
      </c>
      <c r="C91" t="inlineStr">
        <is>
          <t>TRAINERCLASS_LASS</t>
        </is>
      </c>
      <c r="D91" t="inlineStr">
        <is>
          <t>Michelle</t>
        </is>
      </c>
      <c r="E91" t="inlineStr">
        <is>
          <t>Palestra Erba</t>
        </is>
      </c>
      <c r="F91" t="inlineStr">
        <is>
          <t>Double Battle</t>
        </is>
      </c>
      <c r="G91" t="inlineStr">
        <is>
          <t/>
        </is>
      </c>
      <c r="H91" t="inlineStr">
        <is>
          <t>4</t>
        </is>
      </c>
      <c r="I91" t="inlineStr">
        <is>
          <t/>
        </is>
      </c>
      <c r="J91" t="inlineStr">
        <is>
          <t>Combee</t>
        </is>
      </c>
      <c r="K91" t="inlineStr">
        <is>
          <t>SPECIES_COMBEE</t>
        </is>
      </c>
      <c r="L91" t="inlineStr">
        <is>
          <t>7</t>
        </is>
      </c>
      <c r="M91" t="inlineStr">
        <is>
          <t/>
        </is>
      </c>
      <c r="N91" t="inlineStr">
        <is>
          <t>0</t>
        </is>
      </c>
      <c r="O91" t="inlineStr">
        <is>
          <t>0</t>
        </is>
      </c>
      <c r="P91" t="inlineStr">
        <is>
          <t>Gust</t>
        </is>
      </c>
      <c r="Q91" t="inlineStr">
        <is>
          <t>Sweet Scent</t>
        </is>
      </c>
      <c r="R91" t="inlineStr">
        <is>
          <t>Bug Bite</t>
        </is>
      </c>
      <c r="S91" t="inlineStr">
        <is>
          <t>Struggle Bug</t>
        </is>
      </c>
      <c r="T91" t="inlineStr">
        <is>
          <t>learnset &lt;= L7</t>
        </is>
      </c>
      <c r="U91" t="inlineStr">
        <is>
          <t>https://img.pokemondb.net/sprites/home/normal/combee.png</t>
        </is>
      </c>
      <c r="V91">
        <f>IMAGE("https://img.pokemondb.net/sprites/home/normal/combee.png")</f>
      </c>
    </row>
    <row r="92">
      <c r="A92" t="inlineStr">
        <is>
          <t>685</t>
        </is>
      </c>
      <c r="B92" t="inlineStr">
        <is>
          <t>Hiker</t>
        </is>
      </c>
      <c r="C92" t="inlineStr">
        <is>
          <t>TRAINERCLASS_HIKER</t>
        </is>
      </c>
      <c r="D92" t="inlineStr">
        <is>
          <t>Edwin</t>
        </is>
      </c>
      <c r="E92" t="inlineStr">
        <is>
          <t>Palestra Roccia</t>
        </is>
      </c>
      <c r="F92" t="inlineStr">
        <is>
          <t>Double Battle</t>
        </is>
      </c>
      <c r="G92" t="inlineStr">
        <is>
          <t/>
        </is>
      </c>
      <c r="H92" t="inlineStr">
        <is>
          <t>1</t>
        </is>
      </c>
      <c r="I92" t="inlineStr">
        <is>
          <t/>
        </is>
      </c>
      <c r="J92" t="inlineStr">
        <is>
          <t>Baltoy</t>
        </is>
      </c>
      <c r="K92" t="inlineStr">
        <is>
          <t>SPECIES_BALTOY</t>
        </is>
      </c>
      <c r="L92" t="inlineStr">
        <is>
          <t>11</t>
        </is>
      </c>
      <c r="M92" t="inlineStr">
        <is>
          <t/>
        </is>
      </c>
      <c r="N92" t="inlineStr">
        <is>
          <t>0</t>
        </is>
      </c>
      <c r="O92" t="inlineStr">
        <is>
          <t>0</t>
        </is>
      </c>
      <c r="P92" t="inlineStr">
        <is>
          <t>Mud Slap</t>
        </is>
      </c>
      <c r="Q92" t="inlineStr">
        <is>
          <t>Rapid Spin</t>
        </is>
      </c>
      <c r="R92" t="inlineStr">
        <is>
          <t>Confusion</t>
        </is>
      </c>
      <c r="S92" t="inlineStr">
        <is>
          <t>Rock Tomb</t>
        </is>
      </c>
      <c r="T92" t="inlineStr">
        <is>
          <t>learnset &lt;= L11</t>
        </is>
      </c>
      <c r="U92" t="inlineStr">
        <is>
          <t>https://img.pokemondb.net/sprites/home/normal/baltoy.png</t>
        </is>
      </c>
      <c r="V92">
        <f>IMAGE("https://img.pokemondb.net/sprites/home/normal/baltoy.png")</f>
      </c>
    </row>
    <row r="93">
      <c r="A93" t="inlineStr">
        <is>
          <t>685</t>
        </is>
      </c>
      <c r="B93" t="inlineStr">
        <is>
          <t>Hiker</t>
        </is>
      </c>
      <c r="C93" t="inlineStr">
        <is>
          <t>TRAINERCLASS_HIKER</t>
        </is>
      </c>
      <c r="D93" t="inlineStr">
        <is>
          <t>Edwin</t>
        </is>
      </c>
      <c r="E93" t="inlineStr">
        <is>
          <t>Palestra Roccia</t>
        </is>
      </c>
      <c r="F93" t="inlineStr">
        <is>
          <t>Double Battle</t>
        </is>
      </c>
      <c r="G93" t="inlineStr">
        <is>
          <t/>
        </is>
      </c>
      <c r="H93" t="inlineStr">
        <is>
          <t>2</t>
        </is>
      </c>
      <c r="I93" t="inlineStr">
        <is>
          <t>yes</t>
        </is>
      </c>
      <c r="J93" t="inlineStr">
        <is>
          <t>Anorith</t>
        </is>
      </c>
      <c r="K93" t="inlineStr">
        <is>
          <t>SPECIES_ANORITH</t>
        </is>
      </c>
      <c r="L93" t="inlineStr">
        <is>
          <t>15</t>
        </is>
      </c>
      <c r="M93" t="inlineStr">
        <is>
          <t/>
        </is>
      </c>
      <c r="N93" t="inlineStr">
        <is>
          <t>0</t>
        </is>
      </c>
      <c r="O93" t="inlineStr">
        <is>
          <t>0</t>
        </is>
      </c>
      <c r="P93" t="inlineStr">
        <is>
          <t>Harden</t>
        </is>
      </c>
      <c r="Q93" t="inlineStr">
        <is>
          <t>Water Gun</t>
        </is>
      </c>
      <c r="R93" t="inlineStr">
        <is>
          <t>Smack Down</t>
        </is>
      </c>
      <c r="S93" t="inlineStr">
        <is>
          <t>Metal Claw</t>
        </is>
      </c>
      <c r="T93" t="inlineStr">
        <is>
          <t>learnset &lt;= L15</t>
        </is>
      </c>
      <c r="U93" t="inlineStr">
        <is>
          <t>https://img.pokemondb.net/sprites/home/normal/anorith.png</t>
        </is>
      </c>
      <c r="V93">
        <f>IMAGE("https://img.pokemondb.net/sprites/home/normal/anorith.png")</f>
      </c>
    </row>
    <row r="94">
      <c r="A94" t="inlineStr">
        <is>
          <t>685</t>
        </is>
      </c>
      <c r="B94" t="inlineStr">
        <is>
          <t>Hiker</t>
        </is>
      </c>
      <c r="C94" t="inlineStr">
        <is>
          <t>TRAINERCLASS_HIKER</t>
        </is>
      </c>
      <c r="D94" t="inlineStr">
        <is>
          <t>Edwin</t>
        </is>
      </c>
      <c r="E94" t="inlineStr">
        <is>
          <t>Palestra Roccia</t>
        </is>
      </c>
      <c r="F94" t="inlineStr">
        <is>
          <t>Double Battle</t>
        </is>
      </c>
      <c r="G94" t="inlineStr">
        <is>
          <t/>
        </is>
      </c>
      <c r="H94" t="inlineStr">
        <is>
          <t>3</t>
        </is>
      </c>
      <c r="I94" t="inlineStr">
        <is>
          <t/>
        </is>
      </c>
      <c r="J94" t="inlineStr">
        <is>
          <t>Sandshrew</t>
        </is>
      </c>
      <c r="K94" t="inlineStr">
        <is>
          <t>SPECIES_SANDSHREW</t>
        </is>
      </c>
      <c r="L94" t="inlineStr">
        <is>
          <t>11</t>
        </is>
      </c>
      <c r="M94" t="inlineStr">
        <is>
          <t/>
        </is>
      </c>
      <c r="N94" t="inlineStr">
        <is>
          <t>0</t>
        </is>
      </c>
      <c r="O94" t="inlineStr">
        <is>
          <t>0</t>
        </is>
      </c>
      <c r="P94" t="inlineStr">
        <is>
          <t>Defense Curl</t>
        </is>
      </c>
      <c r="Q94" t="inlineStr">
        <is>
          <t>Poison Sting</t>
        </is>
      </c>
      <c r="R94" t="inlineStr">
        <is>
          <t>Sand Attack</t>
        </is>
      </c>
      <c r="S94" t="inlineStr">
        <is>
          <t>Rollout</t>
        </is>
      </c>
      <c r="T94" t="inlineStr">
        <is>
          <t>learnset &lt;= L11</t>
        </is>
      </c>
      <c r="U94" t="inlineStr">
        <is>
          <t>https://img.pokemondb.net/sprites/home/normal/sandshrew.png</t>
        </is>
      </c>
      <c r="V94">
        <f>IMAGE("https://img.pokemondb.net/sprites/home/normal/sandshrew.png")</f>
      </c>
    </row>
  </sheetData>
  <autoFilter ref="A1:V94"/>
</worksheet>
</file>